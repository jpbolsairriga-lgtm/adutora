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Meu Drive\Calculos Diversos\"/>
    </mc:Choice>
  </mc:AlternateContent>
  <xr:revisionPtr revIDLastSave="0" documentId="13_ncr:1_{8F1A4FC2-18B6-4AFA-9EF0-96214F9D215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1" sheetId="1" state="hidden" r:id="rId1"/>
    <sheet name="Simulação com Deficit Diario" sheetId="5" r:id="rId2"/>
    <sheet name="Layout-01" sheetId="9" r:id="rId3"/>
    <sheet name="Layout-02" sheetId="10" r:id="rId4"/>
    <sheet name="Layout-67º" sheetId="12" state="hidden" r:id="rId5"/>
    <sheet name="Planilha1" sheetId="11" state="hidden" r:id="rId6"/>
    <sheet name="Simulação sem Entrada de agua" sheetId="7" state="hidden" r:id="rId7"/>
    <sheet name="Plan3" sheetId="4" state="hidden" r:id="rId8"/>
    <sheet name="Plan5" sheetId="8" state="hidden" r:id="rId9"/>
  </sheets>
  <definedNames>
    <definedName name="_xlnm.Print_Area" localSheetId="2">'Layout-01'!$A$1:$Q$33</definedName>
    <definedName name="_xlnm.Print_Area" localSheetId="3">'Layout-02'!$A$1:$M$30</definedName>
    <definedName name="_xlnm.Print_Area" localSheetId="4">'Layout-67º'!$A$1:$Q$33</definedName>
    <definedName name="_xlnm.Print_Area" localSheetId="1">'Simulação com Deficit Diario'!$A$1:$G$64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12" l="1"/>
  <c r="U10" i="12" s="1"/>
  <c r="U8" i="12"/>
  <c r="U11" i="12" s="1"/>
  <c r="U12" i="12" s="1"/>
  <c r="B5" i="11"/>
  <c r="B6" i="11"/>
  <c r="B7" i="11"/>
  <c r="H65" i="5"/>
  <c r="B8" i="11" l="1"/>
  <c r="B9" i="11" s="1"/>
  <c r="D42" i="5"/>
  <c r="D40" i="5" l="1"/>
  <c r="H61" i="5" l="1"/>
  <c r="D48" i="5"/>
  <c r="D50" i="5" s="1"/>
  <c r="D49" i="5" s="1"/>
  <c r="D41" i="5"/>
  <c r="H62" i="5" s="1"/>
  <c r="C28" i="7"/>
  <c r="H12" i="7"/>
  <c r="C12" i="7"/>
  <c r="C16" i="7" s="1"/>
  <c r="H7" i="7"/>
  <c r="H16" i="7" s="1"/>
  <c r="H17" i="7" s="1"/>
  <c r="C7" i="7"/>
  <c r="C15" i="7" s="1"/>
  <c r="D20" i="5"/>
  <c r="D30" i="5" s="1"/>
  <c r="D15" i="5"/>
  <c r="D29" i="5" s="1"/>
  <c r="C17" i="7" l="1"/>
  <c r="H64" i="5"/>
  <c r="H63" i="5"/>
  <c r="D43" i="5"/>
  <c r="D44" i="5" s="1"/>
  <c r="D54" i="5" s="1"/>
  <c r="C21" i="7"/>
  <c r="C22" i="7"/>
  <c r="D23" i="5"/>
  <c r="D24" i="5"/>
  <c r="D31" i="5"/>
  <c r="D32" i="5" s="1"/>
  <c r="I10" i="1"/>
  <c r="D60" i="5" l="1"/>
  <c r="D62" i="5" s="1"/>
  <c r="D55" i="5"/>
  <c r="C55" i="5"/>
  <c r="D53" i="5"/>
  <c r="C23" i="7"/>
  <c r="C24" i="7" s="1"/>
  <c r="D25" i="5"/>
  <c r="K4" i="1"/>
  <c r="N4" i="1" l="1"/>
  <c r="K3" i="1" l="1"/>
  <c r="H3" i="1"/>
  <c r="N2" i="1" s="1"/>
  <c r="B6" i="1"/>
  <c r="A6" i="1"/>
  <c r="B1" i="1"/>
  <c r="A1" i="1"/>
  <c r="C6" i="1" l="1"/>
  <c r="N3" i="1"/>
  <c r="E8" i="1"/>
  <c r="J9" i="1"/>
  <c r="N8" i="1"/>
  <c r="K6" i="1" s="1"/>
  <c r="E9" i="1" l="1"/>
  <c r="F10" i="1"/>
  <c r="H6" i="1"/>
  <c r="J8" i="1" s="1"/>
  <c r="J10" i="1" s="1"/>
  <c r="K10" i="1" s="1"/>
  <c r="N15" i="1"/>
  <c r="N7" i="1"/>
  <c r="N12" i="1" s="1"/>
</calcChain>
</file>

<file path=xl/sharedStrings.xml><?xml version="1.0" encoding="utf-8"?>
<sst xmlns="http://schemas.openxmlformats.org/spreadsheetml/2006/main" count="191" uniqueCount="83">
  <si>
    <t>Medidas</t>
  </si>
  <si>
    <t>mts</t>
  </si>
  <si>
    <t>x1</t>
  </si>
  <si>
    <t>x2</t>
  </si>
  <si>
    <t>z</t>
  </si>
  <si>
    <t>y1</t>
  </si>
  <si>
    <t>y2</t>
  </si>
  <si>
    <t>Medias</t>
  </si>
  <si>
    <t>x1+x2</t>
  </si>
  <si>
    <t>y1+y2</t>
  </si>
  <si>
    <t>Volume</t>
  </si>
  <si>
    <t>m2</t>
  </si>
  <si>
    <t>Total</t>
  </si>
  <si>
    <t>Rampa 45°</t>
  </si>
  <si>
    <t>volume m3</t>
  </si>
  <si>
    <t>Lona</t>
  </si>
  <si>
    <t>Consumo de agua do projeto:</t>
  </si>
  <si>
    <t>m3/h</t>
  </si>
  <si>
    <t>Vazão de Disponivel para captação:</t>
  </si>
  <si>
    <t>Tempo de trabalho</t>
  </si>
  <si>
    <t>horas</t>
  </si>
  <si>
    <t>Tempo de trabalho para captação</t>
  </si>
  <si>
    <t>Dados do Projeto</t>
  </si>
  <si>
    <t>Dados da captação de Agua</t>
  </si>
  <si>
    <t>Volume consumido em 01 dia de irrigação:</t>
  </si>
  <si>
    <t>Volume captado em 01 dia de armazenamento:</t>
  </si>
  <si>
    <t>Resumo da Situação/Deficit - Em 01 dia de Irrigação</t>
  </si>
  <si>
    <t>Volume deficitario em 01 dia de irrigação:</t>
  </si>
  <si>
    <t>lts</t>
  </si>
  <si>
    <t>m3</t>
  </si>
  <si>
    <t>m3/dia</t>
  </si>
  <si>
    <t>m3/mês</t>
  </si>
  <si>
    <t>Simulação de Volume de Reservatorio com Deficit de entrada de Agua</t>
  </si>
  <si>
    <t>Simulação de Volume de Reservatorio sem entrada de agua por determinado periodo</t>
  </si>
  <si>
    <t>Capacidade em dias de Irrgação do Reservatorio</t>
  </si>
  <si>
    <t>Quantos dias o Reservatorio dever trabalhar sem entrada de Agua?</t>
  </si>
  <si>
    <t>Dias</t>
  </si>
  <si>
    <t>Volume necessario para irrigar no periodo determinado:</t>
  </si>
  <si>
    <t>m3/periodo</t>
  </si>
  <si>
    <t>Lts/periodo</t>
  </si>
  <si>
    <t>Evapotranspiração media diaria:</t>
  </si>
  <si>
    <t>Evapotranspiração media no periodo:</t>
  </si>
  <si>
    <t>Resumo da Situação/Deficit - Em um periodo dia de Irrigação (simulação)</t>
  </si>
  <si>
    <t>Periodo de dias:</t>
  </si>
  <si>
    <t>dias</t>
  </si>
  <si>
    <t>Volume que será AMAZENADO no periodo:</t>
  </si>
  <si>
    <t>Volume que será CONSUMIDO no periodo de irrigação:</t>
  </si>
  <si>
    <t>Volume DEFICITARIO no perido (m3/periodo):</t>
  </si>
  <si>
    <t>Volume DEFICITARIO no perido (Lts/periodo):</t>
  </si>
  <si>
    <t>Resumo da Situação/Deficit - No periodo de Irrigação (com folga, corrigindo as perdas)</t>
  </si>
  <si>
    <t>mm/dia/m2</t>
  </si>
  <si>
    <t>mm/perido/m2</t>
  </si>
  <si>
    <t>Largura superior do Reservatorio:</t>
  </si>
  <si>
    <t>Profundidade do Reservatorio:</t>
  </si>
  <si>
    <t>Comprimento superior do Reservatorio:</t>
  </si>
  <si>
    <t>Largura inferior do Reservatorio:</t>
  </si>
  <si>
    <t>Comprimento inferior do Reservatorio:</t>
  </si>
  <si>
    <t>Volume do Reservatorio:</t>
  </si>
  <si>
    <t>Lts</t>
  </si>
  <si>
    <t>Perda por Evapotranspiração no espelho de agua do reservatorio:</t>
  </si>
  <si>
    <t>VOLUME TOTAL DO RESERVATORIO PARA O PERIODO DETERMINADO (m3)</t>
  </si>
  <si>
    <t>VOLUME TOTAL DO RESERVATORIO PARA O PERIODO DETERMINADO (Lts)</t>
  </si>
  <si>
    <t>Rampa do Reservatorio/Talude 1:1 - 45º</t>
  </si>
  <si>
    <t>1) Dados do Projeto -  Consumo de agua do projeto em m3/h:</t>
  </si>
  <si>
    <t>2) Dados da captação de Agua - Vazão disponivel para Bombeamento:</t>
  </si>
  <si>
    <t>3) Resumo - Deficit - Em 01 dia de Irrigação</t>
  </si>
  <si>
    <t>4) Resumo da Situação/Deficit - Em um periodo dia de Irrigação (simulação)</t>
  </si>
  <si>
    <t>5) Simulação de Tamanho estimado do Reservatorio para o perido determinado</t>
  </si>
  <si>
    <t>6) Perdas por Evaporação no espelho d'agua.</t>
  </si>
  <si>
    <t>7) TAMANHO RECOMENDADO DO RESERVATORIO PARA O PERIODO ESTIMADO.</t>
  </si>
  <si>
    <t>6) Quantidade de Lona para revestir o Reservatorio</t>
  </si>
  <si>
    <t>%</t>
  </si>
  <si>
    <t>Evaporação media diaria:</t>
  </si>
  <si>
    <t>Evaporação media no periodo:</t>
  </si>
  <si>
    <t>Quantidade de Geomembrana</t>
  </si>
  <si>
    <t>Folga na metragem da Geomembrana</t>
  </si>
  <si>
    <t>Quantidade total de Geomembrana com folga de segurança</t>
  </si>
  <si>
    <t>Av. Elias Abrão, nº 140  -  Bairro São Joaquim  -  CEP 14.406-363  - Franca - SP        Fone (16) 3702 6571/ 3720 2323   bolsairriga.com.br</t>
  </si>
  <si>
    <t>Rampa do Reservatorio/Talude 2:1 - 67º</t>
  </si>
  <si>
    <t>Vazão Disponivel para captação:</t>
  </si>
  <si>
    <t>Nome do Cliente: Rogerio Defini</t>
  </si>
  <si>
    <t>Propriedade: Fazenda Barreirão</t>
  </si>
  <si>
    <t>Cidade/UF: Orlandia/SP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</si>
</sst>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0" xfId="0" applyFont="1"/>
    <xf numFmtId="43" fontId="3" fillId="0" borderId="0" xfId="3" applyFont="1"/>
    <xf numFmtId="43" fontId="0" fillId="0" borderId="0" xfId="0" applyNumberFormat="1"/>
    <xf numFmtId="2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6" xfId="0" applyBorder="1"/>
    <xf numFmtId="0" fontId="5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3" fillId="0" borderId="15" xfId="0" applyFont="1" applyBorder="1"/>
    <xf numFmtId="0" fontId="3" fillId="0" borderId="17" xfId="0" applyFont="1" applyBorder="1"/>
    <xf numFmtId="0" fontId="6" fillId="0" borderId="15" xfId="0" applyFont="1" applyBorder="1"/>
    <xf numFmtId="0" fontId="6" fillId="0" borderId="17" xfId="0" applyFont="1" applyBorder="1"/>
    <xf numFmtId="0" fontId="7" fillId="0" borderId="15" xfId="0" applyFont="1" applyBorder="1"/>
    <xf numFmtId="0" fontId="7" fillId="0" borderId="17" xfId="0" applyFont="1" applyBorder="1"/>
    <xf numFmtId="0" fontId="3" fillId="4" borderId="4" xfId="0" applyFont="1" applyFill="1" applyBorder="1"/>
    <xf numFmtId="0" fontId="3" fillId="5" borderId="4" xfId="0" applyFont="1" applyFill="1" applyBorder="1"/>
    <xf numFmtId="0" fontId="8" fillId="5" borderId="6" xfId="0" applyFont="1" applyFill="1" applyBorder="1"/>
    <xf numFmtId="1" fontId="0" fillId="0" borderId="3" xfId="0" applyNumberFormat="1" applyBorder="1" applyAlignment="1">
      <alignment horizontal="center"/>
    </xf>
    <xf numFmtId="0" fontId="9" fillId="0" borderId="15" xfId="0" applyFont="1" applyBorder="1"/>
    <xf numFmtId="0" fontId="9" fillId="0" borderId="17" xfId="0" applyFont="1" applyBorder="1"/>
    <xf numFmtId="0" fontId="8" fillId="5" borderId="5" xfId="0" applyFon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6" fillId="0" borderId="16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43" fontId="3" fillId="0" borderId="16" xfId="3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43" fontId="9" fillId="0" borderId="16" xfId="3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2" fontId="6" fillId="0" borderId="0" xfId="0" applyNumberFormat="1" applyFont="1" applyAlignment="1">
      <alignment horizontal="center"/>
    </xf>
    <xf numFmtId="0" fontId="7" fillId="0" borderId="0" xfId="0" applyFont="1"/>
    <xf numFmtId="2" fontId="7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43" fontId="3" fillId="0" borderId="0" xfId="3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0" fillId="0" borderId="19" xfId="0" applyBorder="1"/>
    <xf numFmtId="2" fontId="6" fillId="0" borderId="20" xfId="0" applyNumberFormat="1" applyFont="1" applyBorder="1" applyAlignment="1">
      <alignment horizontal="center"/>
    </xf>
    <xf numFmtId="0" fontId="6" fillId="0" borderId="21" xfId="0" applyFont="1" applyBorder="1"/>
    <xf numFmtId="0" fontId="5" fillId="0" borderId="22" xfId="0" applyFont="1" applyBorder="1" applyAlignment="1">
      <alignment horizontal="center"/>
    </xf>
    <xf numFmtId="0" fontId="6" fillId="0" borderId="23" xfId="0" applyFont="1" applyBorder="1"/>
    <xf numFmtId="0" fontId="5" fillId="0" borderId="24" xfId="0" applyFont="1" applyBorder="1" applyAlignment="1">
      <alignment horizontal="left"/>
    </xf>
    <xf numFmtId="0" fontId="0" fillId="0" borderId="26" xfId="0" applyBorder="1"/>
    <xf numFmtId="1" fontId="0" fillId="0" borderId="25" xfId="0" applyNumberFormat="1" applyBorder="1" applyAlignment="1">
      <alignment horizontal="center"/>
    </xf>
    <xf numFmtId="0" fontId="0" fillId="0" borderId="22" xfId="0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24" xfId="0" applyBorder="1"/>
    <xf numFmtId="0" fontId="0" fillId="0" borderId="15" xfId="0" applyBorder="1"/>
    <xf numFmtId="43" fontId="0" fillId="0" borderId="0" xfId="3" applyFont="1"/>
    <xf numFmtId="0" fontId="0" fillId="0" borderId="2" xfId="0" applyBorder="1"/>
    <xf numFmtId="0" fontId="3" fillId="4" borderId="2" xfId="0" applyFont="1" applyFill="1" applyBorder="1" applyAlignment="1">
      <alignment horizontal="center"/>
    </xf>
    <xf numFmtId="43" fontId="3" fillId="4" borderId="2" xfId="0" applyNumberFormat="1" applyFont="1" applyFill="1" applyBorder="1"/>
    <xf numFmtId="0" fontId="3" fillId="0" borderId="4" xfId="0" applyFont="1" applyBorder="1"/>
    <xf numFmtId="0" fontId="3" fillId="4" borderId="22" xfId="0" applyFont="1" applyFill="1" applyBorder="1"/>
    <xf numFmtId="43" fontId="3" fillId="4" borderId="33" xfId="0" applyNumberFormat="1" applyFont="1" applyFill="1" applyBorder="1"/>
    <xf numFmtId="0" fontId="3" fillId="4" borderId="33" xfId="0" applyFont="1" applyFill="1" applyBorder="1" applyAlignment="1">
      <alignment horizontal="center"/>
    </xf>
    <xf numFmtId="0" fontId="3" fillId="0" borderId="6" xfId="0" applyFont="1" applyBorder="1"/>
    <xf numFmtId="0" fontId="0" fillId="6" borderId="0" xfId="0" applyFill="1"/>
    <xf numFmtId="0" fontId="0" fillId="5" borderId="0" xfId="0" applyFill="1"/>
    <xf numFmtId="0" fontId="8" fillId="0" borderId="5" xfId="0" applyFont="1" applyBorder="1" applyAlignment="1">
      <alignment horizontal="center"/>
    </xf>
    <xf numFmtId="0" fontId="8" fillId="0" borderId="6" xfId="0" applyFont="1" applyBorder="1"/>
    <xf numFmtId="0" fontId="0" fillId="4" borderId="0" xfId="0" applyFill="1"/>
    <xf numFmtId="2" fontId="6" fillId="7" borderId="16" xfId="0" applyNumberFormat="1" applyFont="1" applyFill="1" applyBorder="1" applyAlignment="1">
      <alignment horizontal="center"/>
    </xf>
    <xf numFmtId="2" fontId="7" fillId="7" borderId="16" xfId="0" applyNumberFormat="1" applyFont="1" applyFill="1" applyBorder="1" applyAlignment="1">
      <alignment horizontal="center"/>
    </xf>
    <xf numFmtId="2" fontId="3" fillId="7" borderId="16" xfId="0" applyNumberFormat="1" applyFont="1" applyFill="1" applyBorder="1" applyAlignment="1">
      <alignment horizontal="center"/>
    </xf>
    <xf numFmtId="2" fontId="6" fillId="7" borderId="20" xfId="0" applyNumberFormat="1" applyFont="1" applyFill="1" applyBorder="1" applyAlignment="1">
      <alignment horizontal="center"/>
    </xf>
    <xf numFmtId="43" fontId="3" fillId="7" borderId="16" xfId="3" applyFont="1" applyFill="1" applyBorder="1" applyAlignment="1">
      <alignment horizontal="center"/>
    </xf>
    <xf numFmtId="2" fontId="0" fillId="7" borderId="25" xfId="0" applyNumberFormat="1" applyFill="1" applyBorder="1" applyAlignment="1">
      <alignment horizontal="center"/>
    </xf>
    <xf numFmtId="43" fontId="0" fillId="7" borderId="16" xfId="3" applyFont="1" applyFill="1" applyBorder="1" applyAlignment="1">
      <alignment horizontal="center"/>
    </xf>
    <xf numFmtId="43" fontId="0" fillId="7" borderId="2" xfId="3" applyFont="1" applyFill="1" applyBorder="1" applyAlignment="1">
      <alignment horizontal="center"/>
    </xf>
    <xf numFmtId="2" fontId="7" fillId="5" borderId="16" xfId="0" applyNumberFormat="1" applyFont="1" applyFill="1" applyBorder="1" applyAlignment="1">
      <alignment horizontal="center"/>
    </xf>
    <xf numFmtId="43" fontId="0" fillId="7" borderId="20" xfId="3" applyFon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0" fillId="0" borderId="23" xfId="0" applyBorder="1"/>
    <xf numFmtId="0" fontId="0" fillId="0" borderId="34" xfId="0" applyBorder="1"/>
    <xf numFmtId="2" fontId="0" fillId="7" borderId="10" xfId="0" applyNumberFormat="1" applyFill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7" xfId="0" applyBorder="1" applyAlignment="1">
      <alignment horizontal="left"/>
    </xf>
    <xf numFmtId="164" fontId="0" fillId="6" borderId="2" xfId="0" applyNumberForma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4" fontId="5" fillId="4" borderId="2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10" fillId="6" borderId="0" xfId="0" applyNumberFormat="1" applyFont="1" applyFill="1" applyAlignment="1">
      <alignment horizontal="center"/>
    </xf>
    <xf numFmtId="2" fontId="0" fillId="5" borderId="3" xfId="0" applyNumberFormat="1" applyFill="1" applyBorder="1" applyAlignment="1" applyProtection="1">
      <alignment horizontal="center"/>
      <protection locked="0"/>
    </xf>
    <xf numFmtId="2" fontId="0" fillId="5" borderId="13" xfId="0" applyNumberFormat="1" applyFill="1" applyBorder="1" applyAlignment="1" applyProtection="1">
      <alignment horizontal="center"/>
      <protection locked="0"/>
    </xf>
    <xf numFmtId="2" fontId="0" fillId="5" borderId="10" xfId="0" applyNumberFormat="1" applyFill="1" applyBorder="1" applyAlignment="1" applyProtection="1">
      <alignment horizontal="center"/>
      <protection locked="0"/>
    </xf>
    <xf numFmtId="2" fontId="0" fillId="5" borderId="25" xfId="0" applyNumberFormat="1" applyFill="1" applyBorder="1" applyAlignment="1" applyProtection="1">
      <alignment horizontal="center"/>
      <protection locked="0"/>
    </xf>
    <xf numFmtId="2" fontId="0" fillId="5" borderId="1" xfId="0" applyNumberFormat="1" applyFill="1" applyBorder="1" applyAlignment="1" applyProtection="1">
      <alignment horizontal="center"/>
      <protection locked="0"/>
    </xf>
    <xf numFmtId="9" fontId="0" fillId="5" borderId="2" xfId="4" applyFont="1" applyFill="1" applyBorder="1" applyAlignment="1" applyProtection="1">
      <alignment horizontal="center"/>
      <protection locked="0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11" fillId="0" borderId="0" xfId="0" applyFont="1"/>
    <xf numFmtId="0" fontId="5" fillId="0" borderId="2" xfId="0" applyFont="1" applyBorder="1"/>
    <xf numFmtId="0" fontId="5" fillId="0" borderId="0" xfId="0" applyFont="1"/>
    <xf numFmtId="0" fontId="5" fillId="0" borderId="30" xfId="0" applyFont="1" applyBorder="1"/>
    <xf numFmtId="44" fontId="5" fillId="0" borderId="0" xfId="5" applyFont="1" applyBorder="1"/>
    <xf numFmtId="1" fontId="5" fillId="5" borderId="25" xfId="0" applyNumberFormat="1" applyFont="1" applyFill="1" applyBorder="1" applyAlignment="1" applyProtection="1">
      <alignment horizontal="center"/>
      <protection locked="0"/>
    </xf>
  </cellXfs>
  <cellStyles count="6">
    <cellStyle name="Moeda" xfId="5" builtinId="4"/>
    <cellStyle name="Normal" xfId="0" builtinId="0"/>
    <cellStyle name="Normal 2" xfId="1" xr:uid="{00000000-0005-0000-0000-000001000000}"/>
    <cellStyle name="Normal 2 2" xfId="2" xr:uid="{00000000-0005-0000-0000-000002000000}"/>
    <cellStyle name="Porcentagem" xfId="4" builtinId="5"/>
    <cellStyle name="Vírgula" xfId="3" builtinId="3"/>
  </cellStyles>
  <dxfs count="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4"/>
      </font>
      <fill>
        <patternFill patternType="solid">
          <bgColor rgb="FF00FF00"/>
        </patternFill>
      </fill>
    </dxf>
  </dxfs>
  <tableStyles count="0" defaultTableStyle="TableStyleMedium2" defaultPivotStyle="PivotStyleLight16"/>
  <colors>
    <mruColors>
      <color rgb="FF00FF00"/>
      <color rgb="FFC0C0C0"/>
      <color rgb="FFFF5050"/>
      <color rgb="FFFF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257175</xdr:colOff>
      <xdr:row>0</xdr:row>
      <xdr:rowOff>0</xdr:rowOff>
    </xdr:from>
    <xdr:to>
      <xdr:col>20</xdr:col>
      <xdr:colOff>238125</xdr:colOff>
      <xdr:row>11</xdr:row>
      <xdr:rowOff>20121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6925" y="0"/>
          <a:ext cx="3028950" cy="2115621"/>
        </a:xfrm>
        <a:prstGeom prst="rect">
          <a:avLst/>
        </a:prstGeom>
      </xdr:spPr>
    </xdr:pic>
    <xdr:clientData/>
  </xdr:twoCellAnchor>
  <xdr:twoCellAnchor editAs="oneCell">
    <xdr:from>
      <xdr:col>20</xdr:col>
      <xdr:colOff>428625</xdr:colOff>
      <xdr:row>0</xdr:row>
      <xdr:rowOff>0</xdr:rowOff>
    </xdr:from>
    <xdr:to>
      <xdr:col>28</xdr:col>
      <xdr:colOff>237539</xdr:colOff>
      <xdr:row>9</xdr:row>
      <xdr:rowOff>95024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06375" y="0"/>
          <a:ext cx="4685714" cy="1809524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428626</xdr:colOff>
      <xdr:row>15</xdr:row>
      <xdr:rowOff>183800</xdr:rowOff>
    </xdr:from>
    <xdr:to>
      <xdr:col>24</xdr:col>
      <xdr:colOff>322619</xdr:colOff>
      <xdr:row>37</xdr:row>
      <xdr:rowOff>113452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6926" y="3041300"/>
          <a:ext cx="5989993" cy="4120652"/>
        </a:xfrm>
        <a:prstGeom prst="rect">
          <a:avLst/>
        </a:prstGeom>
      </xdr:spPr>
    </xdr:pic>
    <xdr:clientData/>
  </xdr:twoCellAnchor>
  <xdr:twoCellAnchor>
    <xdr:from>
      <xdr:col>19</xdr:col>
      <xdr:colOff>19051</xdr:colOff>
      <xdr:row>16</xdr:row>
      <xdr:rowOff>180975</xdr:rowOff>
    </xdr:from>
    <xdr:to>
      <xdr:col>19</xdr:col>
      <xdr:colOff>533401</xdr:colOff>
      <xdr:row>18</xdr:row>
      <xdr:rowOff>0</xdr:rowOff>
    </xdr:to>
    <xdr:sp macro="" textlink="$H$2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25351" y="3228975"/>
          <a:ext cx="51435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3F17D3C-F8B0-493D-A1DD-C02744CAFBF1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60</a:t>
          </a:fld>
          <a:endParaRPr lang="pt-BR" sz="1100"/>
        </a:p>
      </xdr:txBody>
    </xdr:sp>
    <xdr:clientData/>
  </xdr:twoCellAnchor>
  <xdr:twoCellAnchor>
    <xdr:from>
      <xdr:col>19</xdr:col>
      <xdr:colOff>0</xdr:colOff>
      <xdr:row>22</xdr:row>
      <xdr:rowOff>95250</xdr:rowOff>
    </xdr:from>
    <xdr:to>
      <xdr:col>19</xdr:col>
      <xdr:colOff>514350</xdr:colOff>
      <xdr:row>23</xdr:row>
      <xdr:rowOff>104775</xdr:rowOff>
    </xdr:to>
    <xdr:sp macro="" textlink="$H$3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868150" y="4286250"/>
          <a:ext cx="51435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4D7D780-FD30-469D-B0F0-3736E9930527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50</a:t>
          </a:fld>
          <a:endParaRPr lang="pt-BR" sz="1100"/>
        </a:p>
      </xdr:txBody>
    </xdr:sp>
    <xdr:clientData/>
  </xdr:twoCellAnchor>
  <xdr:twoCellAnchor>
    <xdr:from>
      <xdr:col>16</xdr:col>
      <xdr:colOff>557212</xdr:colOff>
      <xdr:row>24</xdr:row>
      <xdr:rowOff>176213</xdr:rowOff>
    </xdr:from>
    <xdr:to>
      <xdr:col>17</xdr:col>
      <xdr:colOff>147637</xdr:colOff>
      <xdr:row>27</xdr:row>
      <xdr:rowOff>119063</xdr:rowOff>
    </xdr:to>
    <xdr:sp macro="" textlink="$K$3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 rot="16200000">
          <a:off x="10439400" y="4905375"/>
          <a:ext cx="51435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DA9E99D-2F84-4F4E-A3C4-C4CEBC332AB1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45</a:t>
          </a:fld>
          <a:endParaRPr lang="pt-BR" sz="1100"/>
        </a:p>
      </xdr:txBody>
    </xdr:sp>
    <xdr:clientData/>
  </xdr:twoCellAnchor>
  <xdr:twoCellAnchor>
    <xdr:from>
      <xdr:col>15</xdr:col>
      <xdr:colOff>33339</xdr:colOff>
      <xdr:row>24</xdr:row>
      <xdr:rowOff>176213</xdr:rowOff>
    </xdr:from>
    <xdr:to>
      <xdr:col>15</xdr:col>
      <xdr:colOff>233364</xdr:colOff>
      <xdr:row>27</xdr:row>
      <xdr:rowOff>119063</xdr:rowOff>
    </xdr:to>
    <xdr:sp macro="" textlink="$K$2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 rot="16200000">
          <a:off x="9744077" y="4905375"/>
          <a:ext cx="514350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62ED153-CC21-4101-B460-9A77158A0173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55</a:t>
          </a:fld>
          <a:endParaRPr lang="pt-BR" sz="1100"/>
        </a:p>
      </xdr:txBody>
    </xdr:sp>
    <xdr:clientData/>
  </xdr:twoCellAnchor>
  <xdr:twoCellAnchor editAs="oneCell">
    <xdr:from>
      <xdr:col>0</xdr:col>
      <xdr:colOff>114300</xdr:colOff>
      <xdr:row>15</xdr:row>
      <xdr:rowOff>180975</xdr:rowOff>
    </xdr:from>
    <xdr:to>
      <xdr:col>13</xdr:col>
      <xdr:colOff>495300</xdr:colOff>
      <xdr:row>33</xdr:row>
      <xdr:rowOff>139178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" y="3038475"/>
          <a:ext cx="9001125" cy="3387203"/>
        </a:xfrm>
        <a:prstGeom prst="rect">
          <a:avLst/>
        </a:prstGeom>
      </xdr:spPr>
    </xdr:pic>
    <xdr:clientData/>
  </xdr:twoCellAnchor>
  <xdr:twoCellAnchor>
    <xdr:from>
      <xdr:col>2</xdr:col>
      <xdr:colOff>523875</xdr:colOff>
      <xdr:row>18</xdr:row>
      <xdr:rowOff>133350</xdr:rowOff>
    </xdr:from>
    <xdr:to>
      <xdr:col>3</xdr:col>
      <xdr:colOff>428625</xdr:colOff>
      <xdr:row>19</xdr:row>
      <xdr:rowOff>142875</xdr:rowOff>
    </xdr:to>
    <xdr:sp macro="" textlink="$H$2">
      <xdr:nvSpPr>
        <xdr:cNvPr id="10" name="CaixaDe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743075" y="3562350"/>
          <a:ext cx="514350" cy="2000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3F17D3C-F8B0-493D-A1DD-C02744CAFBF1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60</a:t>
          </a:fld>
          <a:endParaRPr lang="pt-BR" sz="1100"/>
        </a:p>
      </xdr:txBody>
    </xdr:sp>
    <xdr:clientData/>
  </xdr:twoCellAnchor>
  <xdr:twoCellAnchor>
    <xdr:from>
      <xdr:col>1</xdr:col>
      <xdr:colOff>152400</xdr:colOff>
      <xdr:row>28</xdr:row>
      <xdr:rowOff>0</xdr:rowOff>
    </xdr:from>
    <xdr:to>
      <xdr:col>2</xdr:col>
      <xdr:colOff>57150</xdr:colOff>
      <xdr:row>29</xdr:row>
      <xdr:rowOff>9525</xdr:rowOff>
    </xdr:to>
    <xdr:sp macro="" textlink="$H$4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62000" y="5334000"/>
          <a:ext cx="514350" cy="2000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4580389-4F97-43AC-AD3C-2C1B495ED9B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</a:t>
          </a:fld>
          <a:endParaRPr lang="pt-BR" sz="1100"/>
        </a:p>
      </xdr:txBody>
    </xdr:sp>
    <xdr:clientData/>
  </xdr:twoCellAnchor>
  <xdr:twoCellAnchor>
    <xdr:from>
      <xdr:col>3</xdr:col>
      <xdr:colOff>276225</xdr:colOff>
      <xdr:row>30</xdr:row>
      <xdr:rowOff>123825</xdr:rowOff>
    </xdr:from>
    <xdr:to>
      <xdr:col>4</xdr:col>
      <xdr:colOff>180975</xdr:colOff>
      <xdr:row>31</xdr:row>
      <xdr:rowOff>133350</xdr:rowOff>
    </xdr:to>
    <xdr:sp macro="" textlink="$N$8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2105025" y="5838825"/>
          <a:ext cx="514350" cy="2000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FB851EC-568C-4BD2-BC2C-F4DFEE183B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7,071</a:t>
          </a:fld>
          <a:endParaRPr lang="pt-BR" sz="1100"/>
        </a:p>
      </xdr:txBody>
    </xdr:sp>
    <xdr:clientData/>
  </xdr:twoCellAnchor>
  <xdr:twoCellAnchor>
    <xdr:from>
      <xdr:col>7</xdr:col>
      <xdr:colOff>304800</xdr:colOff>
      <xdr:row>28</xdr:row>
      <xdr:rowOff>142875</xdr:rowOff>
    </xdr:from>
    <xdr:to>
      <xdr:col>8</xdr:col>
      <xdr:colOff>209550</xdr:colOff>
      <xdr:row>29</xdr:row>
      <xdr:rowOff>152400</xdr:rowOff>
    </xdr:to>
    <xdr:sp macro="" textlink="$K$3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572000" y="5476875"/>
          <a:ext cx="514350" cy="2000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ADEEB0B-D0AF-43D3-A1DB-01875FD6539A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45</a:t>
          </a:fld>
          <a:endParaRPr lang="pt-BR" sz="1100"/>
        </a:p>
      </xdr:txBody>
    </xdr:sp>
    <xdr:clientData/>
  </xdr:twoCellAnchor>
  <xdr:twoCellAnchor>
    <xdr:from>
      <xdr:col>7</xdr:col>
      <xdr:colOff>152400</xdr:colOff>
      <xdr:row>22</xdr:row>
      <xdr:rowOff>152400</xdr:rowOff>
    </xdr:from>
    <xdr:to>
      <xdr:col>8</xdr:col>
      <xdr:colOff>57150</xdr:colOff>
      <xdr:row>23</xdr:row>
      <xdr:rowOff>161925</xdr:rowOff>
    </xdr:to>
    <xdr:sp macro="" textlink="$K$2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810125" y="4343400"/>
          <a:ext cx="514350" cy="2000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7A25354-FB84-456A-82D0-34E98B620C4A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55</a:t>
          </a:fld>
          <a:endParaRPr lang="pt-BR" sz="1100"/>
        </a:p>
      </xdr:txBody>
    </xdr:sp>
    <xdr:clientData/>
  </xdr:twoCellAnchor>
  <xdr:twoCellAnchor>
    <xdr:from>
      <xdr:col>8</xdr:col>
      <xdr:colOff>333375</xdr:colOff>
      <xdr:row>26</xdr:row>
      <xdr:rowOff>0</xdr:rowOff>
    </xdr:from>
    <xdr:to>
      <xdr:col>9</xdr:col>
      <xdr:colOff>238125</xdr:colOff>
      <xdr:row>27</xdr:row>
      <xdr:rowOff>9525</xdr:rowOff>
    </xdr:to>
    <xdr:sp macro="" textlink="$N$8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600700" y="4953000"/>
          <a:ext cx="514350" cy="2000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FB851EC-568C-4BD2-BC2C-F4DFEE183B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7,071</a:t>
          </a:fld>
          <a:endParaRPr lang="pt-BR" sz="1100"/>
        </a:p>
      </xdr:txBody>
    </xdr:sp>
    <xdr:clientData/>
  </xdr:twoCellAnchor>
  <xdr:twoCellAnchor>
    <xdr:from>
      <xdr:col>11</xdr:col>
      <xdr:colOff>381000</xdr:colOff>
      <xdr:row>31</xdr:row>
      <xdr:rowOff>47625</xdr:rowOff>
    </xdr:from>
    <xdr:to>
      <xdr:col>13</xdr:col>
      <xdr:colOff>47625</xdr:colOff>
      <xdr:row>32</xdr:row>
      <xdr:rowOff>95250</xdr:rowOff>
    </xdr:to>
    <xdr:sp macro="" textlink="$E$8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7715250" y="5953125"/>
          <a:ext cx="952500" cy="2381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EC6B4AE-9665-481B-A9F5-0B33248455FF}" type="TxLink">
            <a:rPr lang="en-US" sz="1100" b="1" i="0" u="none" strike="noStrike">
              <a:solidFill>
                <a:srgbClr val="FF0000"/>
              </a:solidFill>
              <a:latin typeface="Calibri"/>
              <a:cs typeface="Calibri"/>
            </a:rPr>
            <a:pPr algn="ctr"/>
            <a:t> 13.791,67 </a:t>
          </a:fld>
          <a:endParaRPr lang="pt-BR" sz="1100"/>
        </a:p>
      </xdr:txBody>
    </xdr:sp>
    <xdr:clientData/>
  </xdr:twoCellAnchor>
  <xdr:oneCellAnchor>
    <xdr:from>
      <xdr:col>11</xdr:col>
      <xdr:colOff>371475</xdr:colOff>
      <xdr:row>32</xdr:row>
      <xdr:rowOff>95250</xdr:rowOff>
    </xdr:from>
    <xdr:ext cx="965201" cy="238125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477125" y="6191250"/>
          <a:ext cx="965201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Volume m3 -</a:t>
          </a:r>
          <a:r>
            <a:rPr lang="pt-BR" sz="1100" b="1" baseline="0">
              <a:solidFill>
                <a:srgbClr val="FF0000"/>
              </a:solidFill>
            </a:rPr>
            <a:t> </a:t>
          </a:r>
          <a:endParaRPr lang="pt-BR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38100</xdr:colOff>
      <xdr:row>29</xdr:row>
      <xdr:rowOff>161925</xdr:rowOff>
    </xdr:from>
    <xdr:ext cx="1143000" cy="238125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514850" y="5686425"/>
          <a:ext cx="114300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largura</a:t>
          </a:r>
          <a:r>
            <a:rPr lang="pt-BR" sz="1100" b="1" baseline="0">
              <a:solidFill>
                <a:srgbClr val="FF0000"/>
              </a:solidFill>
            </a:rPr>
            <a:t> do fundo</a:t>
          </a:r>
          <a:endParaRPr lang="pt-BR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485774</xdr:colOff>
      <xdr:row>23</xdr:row>
      <xdr:rowOff>152400</xdr:rowOff>
    </xdr:from>
    <xdr:ext cx="1038225" cy="238125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33899" y="4533900"/>
          <a:ext cx="1038225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Largura</a:t>
          </a:r>
          <a:r>
            <a:rPr lang="pt-BR" sz="1100" b="1" baseline="0">
              <a:solidFill>
                <a:srgbClr val="FF0000"/>
              </a:solidFill>
            </a:rPr>
            <a:t> Borda</a:t>
          </a:r>
          <a:endParaRPr lang="pt-BR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142874</xdr:colOff>
      <xdr:row>19</xdr:row>
      <xdr:rowOff>152400</xdr:rowOff>
    </xdr:from>
    <xdr:ext cx="1343026" cy="238125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362074" y="3771900"/>
          <a:ext cx="1343026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Comprimento</a:t>
          </a:r>
          <a:r>
            <a:rPr lang="pt-BR" sz="1100" b="1" baseline="0">
              <a:solidFill>
                <a:srgbClr val="FF0000"/>
              </a:solidFill>
            </a:rPr>
            <a:t> Borda</a:t>
          </a:r>
          <a:endParaRPr lang="pt-BR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466725</xdr:colOff>
      <xdr:row>29</xdr:row>
      <xdr:rowOff>0</xdr:rowOff>
    </xdr:from>
    <xdr:ext cx="971550" cy="238125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66725" y="5524500"/>
          <a:ext cx="97155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Profundidade</a:t>
          </a:r>
        </a:p>
      </xdr:txBody>
    </xdr:sp>
    <xdr:clientData/>
  </xdr:oneCellAnchor>
  <xdr:oneCellAnchor>
    <xdr:from>
      <xdr:col>9</xdr:col>
      <xdr:colOff>238125</xdr:colOff>
      <xdr:row>25</xdr:row>
      <xdr:rowOff>180975</xdr:rowOff>
    </xdr:from>
    <xdr:ext cx="1371600" cy="238125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115050" y="4943475"/>
          <a:ext cx="137160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Comprimento</a:t>
          </a:r>
          <a:r>
            <a:rPr lang="pt-BR" sz="1100" b="1" baseline="0">
              <a:solidFill>
                <a:srgbClr val="FF0000"/>
              </a:solidFill>
            </a:rPr>
            <a:t> Rampa</a:t>
          </a:r>
          <a:endParaRPr lang="pt-BR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157162</xdr:colOff>
      <xdr:row>23</xdr:row>
      <xdr:rowOff>52388</xdr:rowOff>
    </xdr:from>
    <xdr:ext cx="238125" cy="114300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 rot="16200000">
          <a:off x="10563225" y="4886325"/>
          <a:ext cx="114300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largura</a:t>
          </a:r>
          <a:r>
            <a:rPr lang="pt-BR" sz="1100" b="1" baseline="0">
              <a:solidFill>
                <a:srgbClr val="FF0000"/>
              </a:solidFill>
            </a:rPr>
            <a:t> do fundo</a:t>
          </a:r>
          <a:endParaRPr lang="pt-BR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304800</xdr:colOff>
      <xdr:row>23</xdr:row>
      <xdr:rowOff>114300</xdr:rowOff>
    </xdr:from>
    <xdr:ext cx="1143000" cy="238125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11772900" y="4495800"/>
          <a:ext cx="1143000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largura</a:t>
          </a:r>
          <a:r>
            <a:rPr lang="pt-BR" sz="1100" b="1" baseline="0">
              <a:solidFill>
                <a:srgbClr val="FF0000"/>
              </a:solidFill>
            </a:rPr>
            <a:t> do fundo</a:t>
          </a:r>
          <a:endParaRPr lang="pt-BR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381000</xdr:colOff>
      <xdr:row>18</xdr:row>
      <xdr:rowOff>0</xdr:rowOff>
    </xdr:from>
    <xdr:ext cx="1038225" cy="238125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12077700" y="3429000"/>
          <a:ext cx="1038225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Largura</a:t>
          </a:r>
          <a:r>
            <a:rPr lang="pt-BR" sz="1100" b="1" baseline="0">
              <a:solidFill>
                <a:srgbClr val="FF0000"/>
              </a:solidFill>
            </a:rPr>
            <a:t> Borda</a:t>
          </a:r>
          <a:endParaRPr lang="pt-BR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247651</xdr:colOff>
      <xdr:row>22</xdr:row>
      <xdr:rowOff>152400</xdr:rowOff>
    </xdr:from>
    <xdr:ext cx="238125" cy="1343026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 rot="16200000">
          <a:off x="9563101" y="4895850"/>
          <a:ext cx="1343026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Comprimento</a:t>
          </a:r>
          <a:r>
            <a:rPr lang="pt-BR" sz="1100" b="1" baseline="0">
              <a:solidFill>
                <a:srgbClr val="FF0000"/>
              </a:solidFill>
            </a:rPr>
            <a:t> Borda</a:t>
          </a:r>
          <a:endParaRPr lang="pt-BR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352425</xdr:colOff>
      <xdr:row>19</xdr:row>
      <xdr:rowOff>57151</xdr:rowOff>
    </xdr:from>
    <xdr:to>
      <xdr:col>10</xdr:col>
      <xdr:colOff>676275</xdr:colOff>
      <xdr:row>20</xdr:row>
      <xdr:rowOff>57151</xdr:rowOff>
    </xdr:to>
    <xdr:sp macro="" textlink="$M$8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6048375" y="3676651"/>
          <a:ext cx="933450" cy="1905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55243B8-F1A7-4805-8C60-146D74886011}" type="TxLink">
            <a:rPr lang="en-US" sz="1100" b="1" i="0" u="none" strike="noStrike">
              <a:solidFill>
                <a:srgbClr val="FF0000"/>
              </a:solidFill>
              <a:latin typeface="Calibri"/>
              <a:cs typeface="Calibri"/>
            </a:rPr>
            <a:pPr algn="ctr"/>
            <a:t>Rampa 45°</a:t>
          </a:fld>
          <a:endParaRPr lang="pt-B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542925</xdr:colOff>
      <xdr:row>16</xdr:row>
      <xdr:rowOff>66675</xdr:rowOff>
    </xdr:from>
    <xdr:to>
      <xdr:col>13</xdr:col>
      <xdr:colOff>9525</xdr:colOff>
      <xdr:row>17</xdr:row>
      <xdr:rowOff>114300</xdr:rowOff>
    </xdr:to>
    <xdr:sp macro="" textlink="$K$10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7829550" y="3114675"/>
          <a:ext cx="752475" cy="2381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4410351-A4DF-4086-8F17-5015ABAFD424}" type="TxLink">
            <a:rPr lang="en-US" sz="1100" b="1" i="0" u="none" strike="noStrike">
              <a:solidFill>
                <a:sysClr val="windowText" lastClr="000000"/>
              </a:solidFill>
              <a:latin typeface="Calibri"/>
              <a:cs typeface="Calibri"/>
            </a:rPr>
            <a:pPr algn="ctr"/>
            <a:t>3964,92</a:t>
          </a:fld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447675</xdr:colOff>
      <xdr:row>17</xdr:row>
      <xdr:rowOff>114300</xdr:rowOff>
    </xdr:from>
    <xdr:ext cx="965201" cy="238125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7734300" y="3352800"/>
          <a:ext cx="965201" cy="2381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m2 de Lona</a:t>
          </a:r>
        </a:p>
      </xdr:txBody>
    </xdr:sp>
    <xdr:clientData/>
  </xdr:oneCellAnchor>
  <xdr:twoCellAnchor editAs="oneCell">
    <xdr:from>
      <xdr:col>4</xdr:col>
      <xdr:colOff>371475</xdr:colOff>
      <xdr:row>35</xdr:row>
      <xdr:rowOff>57150</xdr:rowOff>
    </xdr:from>
    <xdr:to>
      <xdr:col>14</xdr:col>
      <xdr:colOff>103956</xdr:colOff>
      <xdr:row>58</xdr:row>
      <xdr:rowOff>56602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20EFB22C-489F-4DC8-8D0B-E64559B47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09875" y="6724650"/>
          <a:ext cx="6552381" cy="43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528205</xdr:colOff>
      <xdr:row>0</xdr:row>
      <xdr:rowOff>51954</xdr:rowOff>
    </xdr:from>
    <xdr:to>
      <xdr:col>5</xdr:col>
      <xdr:colOff>190500</xdr:colOff>
      <xdr:row>5</xdr:row>
      <xdr:rowOff>33977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5EE01C-BF05-49CB-9CA7-EE5FD3033B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7" t="14603" r="12382" b="6760"/>
        <a:stretch/>
      </xdr:blipFill>
      <xdr:spPr>
        <a:xfrm>
          <a:off x="6061364" y="51954"/>
          <a:ext cx="1662545" cy="9520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243424</xdr:colOff>
      <xdr:row>5</xdr:row>
      <xdr:rowOff>146956</xdr:rowOff>
    </xdr:from>
    <xdr:to>
      <xdr:col>16</xdr:col>
      <xdr:colOff>181211</xdr:colOff>
      <xdr:row>28</xdr:row>
      <xdr:rowOff>65330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2E015F49-CF00-4968-8E76-9DCF4318C7D8}"/>
            </a:ext>
          </a:extLst>
        </xdr:cNvPr>
        <xdr:cNvGrpSpPr/>
      </xdr:nvGrpSpPr>
      <xdr:grpSpPr>
        <a:xfrm>
          <a:off x="254092" y="1077953"/>
          <a:ext cx="10117069" cy="4153904"/>
          <a:chOff x="119007" y="16657529"/>
          <a:chExt cx="9695620" cy="4299874"/>
        </a:xfrm>
      </xdr:grpSpPr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2DAC1E31-C656-446C-8EAA-C3E036C6552B}"/>
              </a:ext>
            </a:extLst>
          </xdr:cNvPr>
          <xdr:cNvGrpSpPr/>
        </xdr:nvGrpSpPr>
        <xdr:grpSpPr>
          <a:xfrm>
            <a:off x="119007" y="16657529"/>
            <a:ext cx="9695620" cy="4299874"/>
            <a:chOff x="9497669" y="4487176"/>
            <a:chExt cx="9743245" cy="4299874"/>
          </a:xfrm>
        </xdr:grpSpPr>
        <xdr:grpSp>
          <xdr:nvGrpSpPr>
            <xdr:cNvPr id="39" name="Agrupar 38">
              <a:extLst>
                <a:ext uri="{FF2B5EF4-FFF2-40B4-BE49-F238E27FC236}">
                  <a16:creationId xmlns:a16="http://schemas.microsoft.com/office/drawing/2014/main" id="{58607D13-8B72-4A3E-A86F-D16B198039D9}"/>
                </a:ext>
              </a:extLst>
            </xdr:cNvPr>
            <xdr:cNvGrpSpPr/>
          </xdr:nvGrpSpPr>
          <xdr:grpSpPr>
            <a:xfrm>
              <a:off x="9533560" y="4704523"/>
              <a:ext cx="9664561" cy="4082527"/>
              <a:chOff x="9533560" y="4704523"/>
              <a:chExt cx="9664561" cy="4082527"/>
            </a:xfrm>
          </xdr:grpSpPr>
          <xdr:cxnSp macro="">
            <xdr:nvCxnSpPr>
              <xdr:cNvPr id="64" name="Conector reto 63">
                <a:extLst>
                  <a:ext uri="{FF2B5EF4-FFF2-40B4-BE49-F238E27FC236}">
                    <a16:creationId xmlns:a16="http://schemas.microsoft.com/office/drawing/2014/main" id="{DD4FBD6C-055A-4B36-8EF7-1F77A242C092}"/>
                  </a:ext>
                </a:extLst>
              </xdr:cNvPr>
              <xdr:cNvCxnSpPr/>
            </xdr:nvCxnSpPr>
            <xdr:spPr>
              <a:xfrm flipV="1">
                <a:off x="16143083" y="8652994"/>
                <a:ext cx="694266" cy="129470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65" name="Agrupar 64">
                <a:extLst>
                  <a:ext uri="{FF2B5EF4-FFF2-40B4-BE49-F238E27FC236}">
                    <a16:creationId xmlns:a16="http://schemas.microsoft.com/office/drawing/2014/main" id="{38FBF84F-3432-429D-AC6D-93397CAB920A}"/>
                  </a:ext>
                </a:extLst>
              </xdr:cNvPr>
              <xdr:cNvGrpSpPr/>
            </xdr:nvGrpSpPr>
            <xdr:grpSpPr>
              <a:xfrm>
                <a:off x="9533560" y="4704523"/>
                <a:ext cx="9664561" cy="4082527"/>
                <a:chOff x="9539910" y="4768023"/>
                <a:chExt cx="9667736" cy="4139677"/>
              </a:xfrm>
            </xdr:grpSpPr>
            <xdr:cxnSp macro="">
              <xdr:nvCxnSpPr>
                <xdr:cNvPr id="66" name="Conector reto 65">
                  <a:extLst>
                    <a:ext uri="{FF2B5EF4-FFF2-40B4-BE49-F238E27FC236}">
                      <a16:creationId xmlns:a16="http://schemas.microsoft.com/office/drawing/2014/main" id="{1DBD1C30-B547-4C65-84C6-ECC439316EAE}"/>
                    </a:ext>
                  </a:extLst>
                </xdr:cNvPr>
                <xdr:cNvCxnSpPr/>
              </xdr:nvCxnSpPr>
              <xdr:spPr>
                <a:xfrm flipV="1">
                  <a:off x="9550493" y="4768023"/>
                  <a:ext cx="4029642" cy="1989512"/>
                </a:xfrm>
                <a:prstGeom prst="line">
                  <a:avLst/>
                </a:prstGeom>
                <a:ln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7" name="Conector reto 66">
                  <a:extLst>
                    <a:ext uri="{FF2B5EF4-FFF2-40B4-BE49-F238E27FC236}">
                      <a16:creationId xmlns:a16="http://schemas.microsoft.com/office/drawing/2014/main" id="{8C51B5FA-B012-42F1-AF54-05F994757FD8}"/>
                    </a:ext>
                  </a:extLst>
                </xdr:cNvPr>
                <xdr:cNvCxnSpPr/>
              </xdr:nvCxnSpPr>
              <xdr:spPr>
                <a:xfrm>
                  <a:off x="13558968" y="4771550"/>
                  <a:ext cx="287691" cy="951802"/>
                </a:xfrm>
                <a:prstGeom prst="line">
                  <a:avLst/>
                </a:prstGeom>
                <a:ln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8" name="Conector reto 67">
                  <a:extLst>
                    <a:ext uri="{FF2B5EF4-FFF2-40B4-BE49-F238E27FC236}">
                      <a16:creationId xmlns:a16="http://schemas.microsoft.com/office/drawing/2014/main" id="{22898E20-6854-4950-A5B5-ACB64BEDDE1E}"/>
                    </a:ext>
                  </a:extLst>
                </xdr:cNvPr>
                <xdr:cNvCxnSpPr/>
              </xdr:nvCxnSpPr>
              <xdr:spPr>
                <a:xfrm>
                  <a:off x="13558968" y="4771550"/>
                  <a:ext cx="5648678" cy="964502"/>
                </a:xfrm>
                <a:prstGeom prst="line">
                  <a:avLst/>
                </a:prstGeom>
                <a:ln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69" name="Conector reto 68">
                  <a:extLst>
                    <a:ext uri="{FF2B5EF4-FFF2-40B4-BE49-F238E27FC236}">
                      <a16:creationId xmlns:a16="http://schemas.microsoft.com/office/drawing/2014/main" id="{83077556-7336-41B0-8778-3EF26B94CF46}"/>
                    </a:ext>
                  </a:extLst>
                </xdr:cNvPr>
                <xdr:cNvCxnSpPr/>
              </xdr:nvCxnSpPr>
              <xdr:spPr>
                <a:xfrm flipH="1">
                  <a:off x="16848621" y="5729878"/>
                  <a:ext cx="2359025" cy="3047823"/>
                </a:xfrm>
                <a:prstGeom prst="line">
                  <a:avLst/>
                </a:prstGeom>
                <a:ln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0" name="Conector reto 69">
                  <a:extLst>
                    <a:ext uri="{FF2B5EF4-FFF2-40B4-BE49-F238E27FC236}">
                      <a16:creationId xmlns:a16="http://schemas.microsoft.com/office/drawing/2014/main" id="{CE5B37C9-713F-42C5-96A4-40F59BFB36E3}"/>
                    </a:ext>
                  </a:extLst>
                </xdr:cNvPr>
                <xdr:cNvCxnSpPr/>
              </xdr:nvCxnSpPr>
              <xdr:spPr>
                <a:xfrm flipH="1" flipV="1">
                  <a:off x="9547847" y="6759299"/>
                  <a:ext cx="7316649" cy="2018402"/>
                </a:xfrm>
                <a:prstGeom prst="line">
                  <a:avLst/>
                </a:prstGeom>
                <a:ln w="28575"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1" name="Conector reto 70">
                  <a:extLst>
                    <a:ext uri="{FF2B5EF4-FFF2-40B4-BE49-F238E27FC236}">
                      <a16:creationId xmlns:a16="http://schemas.microsoft.com/office/drawing/2014/main" id="{B5A09908-58B0-49E2-B894-54445B3598F1}"/>
                    </a:ext>
                  </a:extLst>
                </xdr:cNvPr>
                <xdr:cNvCxnSpPr/>
              </xdr:nvCxnSpPr>
              <xdr:spPr>
                <a:xfrm flipH="1" flipV="1">
                  <a:off x="9539910" y="6757535"/>
                  <a:ext cx="1501636" cy="696985"/>
                </a:xfrm>
                <a:prstGeom prst="line">
                  <a:avLst/>
                </a:prstGeom>
                <a:ln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2" name="Conector reto 71">
                  <a:extLst>
                    <a:ext uri="{FF2B5EF4-FFF2-40B4-BE49-F238E27FC236}">
                      <a16:creationId xmlns:a16="http://schemas.microsoft.com/office/drawing/2014/main" id="{8F24EBD5-7AEF-44A0-8C26-5FD15DA6C112}"/>
                    </a:ext>
                  </a:extLst>
                </xdr:cNvPr>
                <xdr:cNvCxnSpPr/>
              </xdr:nvCxnSpPr>
              <xdr:spPr>
                <a:xfrm>
                  <a:off x="11025318" y="7450023"/>
                  <a:ext cx="5144912" cy="1457677"/>
                </a:xfrm>
                <a:prstGeom prst="line">
                  <a:avLst/>
                </a:prstGeom>
                <a:ln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3" name="Conector reto 72">
                  <a:extLst>
                    <a:ext uri="{FF2B5EF4-FFF2-40B4-BE49-F238E27FC236}">
                      <a16:creationId xmlns:a16="http://schemas.microsoft.com/office/drawing/2014/main" id="{F93C142A-C713-4CA4-8339-21EEDE182F97}"/>
                    </a:ext>
                  </a:extLst>
                </xdr:cNvPr>
                <xdr:cNvCxnSpPr/>
              </xdr:nvCxnSpPr>
              <xdr:spPr>
                <a:xfrm flipV="1">
                  <a:off x="11314596" y="5728114"/>
                  <a:ext cx="2525712" cy="1508125"/>
                </a:xfrm>
                <a:prstGeom prst="line">
                  <a:avLst/>
                </a:prstGeom>
                <a:ln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4" name="Conector reto 73">
                  <a:extLst>
                    <a:ext uri="{FF2B5EF4-FFF2-40B4-BE49-F238E27FC236}">
                      <a16:creationId xmlns:a16="http://schemas.microsoft.com/office/drawing/2014/main" id="{997DD763-AA2E-4EC8-842E-B82E5531D862}"/>
                    </a:ext>
                  </a:extLst>
                </xdr:cNvPr>
                <xdr:cNvCxnSpPr/>
              </xdr:nvCxnSpPr>
              <xdr:spPr>
                <a:xfrm>
                  <a:off x="13841896" y="5723352"/>
                  <a:ext cx="4241801" cy="888654"/>
                </a:xfrm>
                <a:prstGeom prst="line">
                  <a:avLst/>
                </a:prstGeom>
                <a:ln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5" name="Conector reto 74">
                  <a:extLst>
                    <a:ext uri="{FF2B5EF4-FFF2-40B4-BE49-F238E27FC236}">
                      <a16:creationId xmlns:a16="http://schemas.microsoft.com/office/drawing/2014/main" id="{3C488A65-3B86-4C82-A82A-B58BF8896862}"/>
                    </a:ext>
                  </a:extLst>
                </xdr:cNvPr>
                <xdr:cNvCxnSpPr/>
              </xdr:nvCxnSpPr>
              <xdr:spPr>
                <a:xfrm flipH="1">
                  <a:off x="18073115" y="5733406"/>
                  <a:ext cx="1120420" cy="875073"/>
                </a:xfrm>
                <a:prstGeom prst="line">
                  <a:avLst/>
                </a:prstGeom>
                <a:ln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76" name="Conector reto 75">
                  <a:extLst>
                    <a:ext uri="{FF2B5EF4-FFF2-40B4-BE49-F238E27FC236}">
                      <a16:creationId xmlns:a16="http://schemas.microsoft.com/office/drawing/2014/main" id="{91BDAB3F-A370-467F-9FD1-503DFC3CD64E}"/>
                    </a:ext>
                  </a:extLst>
                </xdr:cNvPr>
                <xdr:cNvCxnSpPr/>
              </xdr:nvCxnSpPr>
              <xdr:spPr>
                <a:xfrm flipV="1">
                  <a:off x="16356496" y="6612006"/>
                  <a:ext cx="1719264" cy="2018403"/>
                </a:xfrm>
                <a:prstGeom prst="line">
                  <a:avLst/>
                </a:prstGeom>
                <a:ln/>
              </xdr:spPr>
              <xdr:style>
                <a:lnRef idx="3">
                  <a:schemeClr val="dk1"/>
                </a:lnRef>
                <a:fillRef idx="0">
                  <a:schemeClr val="dk1"/>
                </a:fillRef>
                <a:effectRef idx="2">
                  <a:schemeClr val="dk1"/>
                </a:effectRef>
                <a:fontRef idx="minor">
                  <a:schemeClr val="tx1"/>
                </a:fontRef>
              </xdr:style>
            </xdr:cxnSp>
          </xdr:grpSp>
        </xdr:grpSp>
        <xdr:cxnSp macro="">
          <xdr:nvCxnSpPr>
            <xdr:cNvPr id="40" name="Conector de seta reta 174">
              <a:extLst>
                <a:ext uri="{FF2B5EF4-FFF2-40B4-BE49-F238E27FC236}">
                  <a16:creationId xmlns:a16="http://schemas.microsoft.com/office/drawing/2014/main" id="{88AB62A8-E87F-42A1-B853-69633E793B08}"/>
                </a:ext>
              </a:extLst>
            </xdr:cNvPr>
            <xdr:cNvCxnSpPr/>
          </xdr:nvCxnSpPr>
          <xdr:spPr>
            <a:xfrm flipV="1">
              <a:off x="9497669" y="4596840"/>
              <a:ext cx="4024934" cy="1965876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1" name="Conector de seta reta 181">
              <a:extLst>
                <a:ext uri="{FF2B5EF4-FFF2-40B4-BE49-F238E27FC236}">
                  <a16:creationId xmlns:a16="http://schemas.microsoft.com/office/drawing/2014/main" id="{E19F2776-29B4-4212-A757-5DA66FC2E884}"/>
                </a:ext>
              </a:extLst>
            </xdr:cNvPr>
            <xdr:cNvCxnSpPr/>
          </xdr:nvCxnSpPr>
          <xdr:spPr>
            <a:xfrm>
              <a:off x="13564016" y="4588556"/>
              <a:ext cx="5676898" cy="957478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Conector de seta reta 183">
              <a:extLst>
                <a:ext uri="{FF2B5EF4-FFF2-40B4-BE49-F238E27FC236}">
                  <a16:creationId xmlns:a16="http://schemas.microsoft.com/office/drawing/2014/main" id="{C808A392-3DB4-4675-BC43-02F01D625C97}"/>
                </a:ext>
              </a:extLst>
            </xdr:cNvPr>
            <xdr:cNvCxnSpPr/>
          </xdr:nvCxnSpPr>
          <xdr:spPr>
            <a:xfrm>
              <a:off x="13858875" y="5737777"/>
              <a:ext cx="4071731" cy="842756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Conector de seta reta 186">
              <a:extLst>
                <a:ext uri="{FF2B5EF4-FFF2-40B4-BE49-F238E27FC236}">
                  <a16:creationId xmlns:a16="http://schemas.microsoft.com/office/drawing/2014/main" id="{FD835900-644F-4E76-97F1-8F3F38E7A5A2}"/>
                </a:ext>
              </a:extLst>
            </xdr:cNvPr>
            <xdr:cNvCxnSpPr/>
          </xdr:nvCxnSpPr>
          <xdr:spPr>
            <a:xfrm flipV="1">
              <a:off x="11519866" y="5746060"/>
              <a:ext cx="2292627" cy="1364559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44" name="Agrupar 43">
              <a:extLst>
                <a:ext uri="{FF2B5EF4-FFF2-40B4-BE49-F238E27FC236}">
                  <a16:creationId xmlns:a16="http://schemas.microsoft.com/office/drawing/2014/main" id="{94E21956-57FA-47F1-B3F4-0E5037A61C0F}"/>
                </a:ext>
              </a:extLst>
            </xdr:cNvPr>
            <xdr:cNvGrpSpPr/>
          </xdr:nvGrpSpPr>
          <xdr:grpSpPr>
            <a:xfrm>
              <a:off x="14471425" y="5071442"/>
              <a:ext cx="1289604" cy="2061871"/>
              <a:chOff x="14958028" y="4878457"/>
              <a:chExt cx="1299543" cy="2051932"/>
            </a:xfrm>
          </xdr:grpSpPr>
          <xdr:cxnSp macro="">
            <xdr:nvCxnSpPr>
              <xdr:cNvPr id="61" name="Conector de seta reta 223">
                <a:extLst>
                  <a:ext uri="{FF2B5EF4-FFF2-40B4-BE49-F238E27FC236}">
                    <a16:creationId xmlns:a16="http://schemas.microsoft.com/office/drawing/2014/main" id="{5F14A942-2298-42EE-8DEA-39A85C984F70}"/>
                  </a:ext>
                </a:extLst>
              </xdr:cNvPr>
              <xdr:cNvCxnSpPr/>
            </xdr:nvCxnSpPr>
            <xdr:spPr>
              <a:xfrm flipH="1" flipV="1">
                <a:off x="14958028" y="5814389"/>
                <a:ext cx="25209" cy="1116000"/>
              </a:xfrm>
              <a:prstGeom prst="straightConnector1">
                <a:avLst/>
              </a:prstGeom>
              <a:ln>
                <a:solidFill>
                  <a:srgbClr val="FF0000"/>
                </a:solidFill>
                <a:headEnd type="triangle"/>
                <a:tailEnd type="triangle"/>
              </a:ln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62" name="Conector reto 61">
                <a:extLst>
                  <a:ext uri="{FF2B5EF4-FFF2-40B4-BE49-F238E27FC236}">
                    <a16:creationId xmlns:a16="http://schemas.microsoft.com/office/drawing/2014/main" id="{F1925ECC-1CC7-45E3-BF04-6C9BC37A46F7}"/>
                  </a:ext>
                </a:extLst>
              </xdr:cNvPr>
              <xdr:cNvCxnSpPr/>
            </xdr:nvCxnSpPr>
            <xdr:spPr>
              <a:xfrm flipV="1">
                <a:off x="14966674" y="4878457"/>
                <a:ext cx="1234109" cy="935934"/>
              </a:xfrm>
              <a:prstGeom prst="line">
                <a:avLst/>
              </a:prstGeom>
              <a:ln w="12700">
                <a:solidFill>
                  <a:schemeClr val="bg1">
                    <a:lumMod val="65000"/>
                  </a:schemeClr>
                </a:solidFill>
                <a:prstDash val="sysDash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63" name="Conector reto 62">
                <a:extLst>
                  <a:ext uri="{FF2B5EF4-FFF2-40B4-BE49-F238E27FC236}">
                    <a16:creationId xmlns:a16="http://schemas.microsoft.com/office/drawing/2014/main" id="{2B8074C3-BAFF-4D51-A18D-88684340B3A3}"/>
                  </a:ext>
                </a:extLst>
              </xdr:cNvPr>
              <xdr:cNvCxnSpPr/>
            </xdr:nvCxnSpPr>
            <xdr:spPr>
              <a:xfrm flipV="1">
                <a:off x="14983239" y="5855805"/>
                <a:ext cx="1274332" cy="1052199"/>
              </a:xfrm>
              <a:prstGeom prst="line">
                <a:avLst/>
              </a:prstGeom>
              <a:ln w="12700">
                <a:solidFill>
                  <a:schemeClr val="bg1">
                    <a:lumMod val="65000"/>
                  </a:schemeClr>
                </a:solidFill>
                <a:prstDash val="sysDash"/>
              </a:ln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45" name="Conector de seta reta 223">
              <a:extLst>
                <a:ext uri="{FF2B5EF4-FFF2-40B4-BE49-F238E27FC236}">
                  <a16:creationId xmlns:a16="http://schemas.microsoft.com/office/drawing/2014/main" id="{D64C007E-208C-4ABC-A9A0-5BD4527CD220}"/>
                </a:ext>
              </a:extLst>
            </xdr:cNvPr>
            <xdr:cNvCxnSpPr/>
          </xdr:nvCxnSpPr>
          <xdr:spPr>
            <a:xfrm flipH="1" flipV="1">
              <a:off x="11958845" y="5488056"/>
              <a:ext cx="651011" cy="864207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46" name="Agrupar 45">
              <a:extLst>
                <a:ext uri="{FF2B5EF4-FFF2-40B4-BE49-F238E27FC236}">
                  <a16:creationId xmlns:a16="http://schemas.microsoft.com/office/drawing/2014/main" id="{0EB255A7-A050-4BFA-BA9F-8DD80A505E79}"/>
                </a:ext>
              </a:extLst>
            </xdr:cNvPr>
            <xdr:cNvGrpSpPr/>
          </xdr:nvGrpSpPr>
          <xdr:grpSpPr>
            <a:xfrm rot="551352">
              <a:off x="15514616" y="4487176"/>
              <a:ext cx="1332189" cy="499650"/>
              <a:chOff x="11220446" y="8620128"/>
              <a:chExt cx="1332189" cy="499650"/>
            </a:xfrm>
          </xdr:grpSpPr>
          <xdr:sp macro="" textlink="'Simulação com Deficit Diario'!D37">
            <xdr:nvSpPr>
              <xdr:cNvPr id="59" name="CaixaDeTexto 58">
                <a:extLst>
                  <a:ext uri="{FF2B5EF4-FFF2-40B4-BE49-F238E27FC236}">
                    <a16:creationId xmlns:a16="http://schemas.microsoft.com/office/drawing/2014/main" id="{AB90F612-0E1E-4CB7-A023-A5735601B3A4}"/>
                  </a:ext>
                </a:extLst>
              </xdr:cNvPr>
              <xdr:cNvSpPr txBox="1"/>
            </xdr:nvSpPr>
            <xdr:spPr>
              <a:xfrm>
                <a:off x="11222802" y="8620128"/>
                <a:ext cx="1329833" cy="252000"/>
              </a:xfrm>
              <a:prstGeom prst="rect">
                <a:avLst/>
              </a:prstGeom>
              <a:noFill/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23D2DC5B-671D-4564-9E0D-E933C2035D2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 algn="ctr"/>
                  <a:t>120,00</a:t>
                </a:fld>
                <a:endParaRPr lang="en-US" sz="1200" b="1" i="0" u="none" strike="noStrike">
                  <a:solidFill>
                    <a:srgbClr val="000000"/>
                  </a:solidFill>
                  <a:latin typeface="Calibri"/>
                  <a:cs typeface="Calibri"/>
                </a:endParaRPr>
              </a:p>
            </xdr:txBody>
          </xdr:sp>
          <xdr:sp macro="" textlink="">
            <xdr:nvSpPr>
              <xdr:cNvPr id="60" name="CaixaDeTexto 59">
                <a:extLst>
                  <a:ext uri="{FF2B5EF4-FFF2-40B4-BE49-F238E27FC236}">
                    <a16:creationId xmlns:a16="http://schemas.microsoft.com/office/drawing/2014/main" id="{98DDBED2-E6DA-48BB-91C2-976F8E52FF50}"/>
                  </a:ext>
                </a:extLst>
              </xdr:cNvPr>
              <xdr:cNvSpPr txBox="1"/>
            </xdr:nvSpPr>
            <xdr:spPr>
              <a:xfrm>
                <a:off x="11220446" y="8867778"/>
                <a:ext cx="1329833" cy="252000"/>
              </a:xfrm>
              <a:prstGeom prst="rect">
                <a:avLst/>
              </a:prstGeom>
              <a:noFill/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pt-BR" sz="1100" b="1" baseline="0">
                    <a:solidFill>
                      <a:srgbClr val="FF0000"/>
                    </a:solidFill>
                  </a:rPr>
                  <a:t>Comprimento Borda</a:t>
                </a:r>
                <a:endParaRPr lang="pt-BR" sz="1100" b="1">
                  <a:solidFill>
                    <a:srgbClr val="FF0000"/>
                  </a:solidFill>
                </a:endParaRPr>
              </a:p>
            </xdr:txBody>
          </xdr:sp>
        </xdr:grpSp>
        <xdr:grpSp>
          <xdr:nvGrpSpPr>
            <xdr:cNvPr id="47" name="Agrupar 46">
              <a:extLst>
                <a:ext uri="{FF2B5EF4-FFF2-40B4-BE49-F238E27FC236}">
                  <a16:creationId xmlns:a16="http://schemas.microsoft.com/office/drawing/2014/main" id="{78494DD6-53C9-4995-B6E9-724E94435296}"/>
                </a:ext>
              </a:extLst>
            </xdr:cNvPr>
            <xdr:cNvGrpSpPr/>
          </xdr:nvGrpSpPr>
          <xdr:grpSpPr>
            <a:xfrm rot="20063158">
              <a:off x="10894423" y="4964698"/>
              <a:ext cx="1332000" cy="509177"/>
              <a:chOff x="9656174" y="4221747"/>
              <a:chExt cx="1332000" cy="509177"/>
            </a:xfrm>
          </xdr:grpSpPr>
          <xdr:sp macro="" textlink="">
            <xdr:nvSpPr>
              <xdr:cNvPr id="57" name="CaixaDeTexto 56">
                <a:extLst>
                  <a:ext uri="{FF2B5EF4-FFF2-40B4-BE49-F238E27FC236}">
                    <a16:creationId xmlns:a16="http://schemas.microsoft.com/office/drawing/2014/main" id="{29CBAB1D-D42F-4F7A-AA41-38E2EA326C4F}"/>
                  </a:ext>
                </a:extLst>
              </xdr:cNvPr>
              <xdr:cNvSpPr txBox="1"/>
            </xdr:nvSpPr>
            <xdr:spPr>
              <a:xfrm>
                <a:off x="9656174" y="4478924"/>
                <a:ext cx="1332000" cy="252000"/>
              </a:xfrm>
              <a:prstGeom prst="rect">
                <a:avLst/>
              </a:prstGeom>
              <a:noFill/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pt-BR" sz="1100" b="1" baseline="0">
                    <a:solidFill>
                      <a:srgbClr val="FF0000"/>
                    </a:solidFill>
                  </a:rPr>
                  <a:t>Largura Borda</a:t>
                </a:r>
                <a:endParaRPr lang="pt-BR" sz="1100" b="1">
                  <a:solidFill>
                    <a:srgbClr val="FF0000"/>
                  </a:solidFill>
                </a:endParaRPr>
              </a:p>
            </xdr:txBody>
          </xdr:sp>
          <xdr:sp macro="" textlink="'Simulação com Deficit Diario'!D38">
            <xdr:nvSpPr>
              <xdr:cNvPr id="58" name="CaixaDeTexto 57">
                <a:extLst>
                  <a:ext uri="{FF2B5EF4-FFF2-40B4-BE49-F238E27FC236}">
                    <a16:creationId xmlns:a16="http://schemas.microsoft.com/office/drawing/2014/main" id="{B5EBC9B5-8583-4EB4-9612-97F6E5EB07EE}"/>
                  </a:ext>
                </a:extLst>
              </xdr:cNvPr>
              <xdr:cNvSpPr txBox="1"/>
            </xdr:nvSpPr>
            <xdr:spPr>
              <a:xfrm>
                <a:off x="9656174" y="4221747"/>
                <a:ext cx="1332000" cy="252000"/>
              </a:xfrm>
              <a:prstGeom prst="rect">
                <a:avLst/>
              </a:prstGeom>
              <a:noFill/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pPr algn="ctr"/>
                <a:fld id="{D0967EEE-6299-490E-A430-0DB68FCEE026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 algn="ctr"/>
                  <a:t>100,00</a:t>
                </a:fld>
                <a:endParaRPr lang="pt-BR" sz="1200" b="1">
                  <a:solidFill>
                    <a:srgbClr val="FF0000"/>
                  </a:solidFill>
                </a:endParaRPr>
              </a:p>
            </xdr:txBody>
          </xdr:sp>
        </xdr:grpSp>
        <xdr:grpSp>
          <xdr:nvGrpSpPr>
            <xdr:cNvPr id="48" name="Agrupar 47">
              <a:extLst>
                <a:ext uri="{FF2B5EF4-FFF2-40B4-BE49-F238E27FC236}">
                  <a16:creationId xmlns:a16="http://schemas.microsoft.com/office/drawing/2014/main" id="{5FCE7894-61D5-4AA5-891D-74578308349E}"/>
                </a:ext>
              </a:extLst>
            </xdr:cNvPr>
            <xdr:cNvGrpSpPr/>
          </xdr:nvGrpSpPr>
          <xdr:grpSpPr>
            <a:xfrm rot="19745907">
              <a:off x="12258673" y="6419850"/>
              <a:ext cx="1152151" cy="499649"/>
              <a:chOff x="9315449" y="7953375"/>
              <a:chExt cx="1152151" cy="499649"/>
            </a:xfrm>
          </xdr:grpSpPr>
          <xdr:sp macro="" textlink="'Simulação com Deficit Diario'!D41">
            <xdr:nvSpPr>
              <xdr:cNvPr id="55" name="CaixaDeTexto 54">
                <a:extLst>
                  <a:ext uri="{FF2B5EF4-FFF2-40B4-BE49-F238E27FC236}">
                    <a16:creationId xmlns:a16="http://schemas.microsoft.com/office/drawing/2014/main" id="{A310E9D3-6E14-42A1-BE94-CF399260CC5C}"/>
                  </a:ext>
                </a:extLst>
              </xdr:cNvPr>
              <xdr:cNvSpPr txBox="1"/>
            </xdr:nvSpPr>
            <xdr:spPr>
              <a:xfrm>
                <a:off x="9315449" y="7953375"/>
                <a:ext cx="1152000" cy="252000"/>
              </a:xfrm>
              <a:prstGeom prst="rect">
                <a:avLst/>
              </a:prstGeom>
              <a:noFill/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979EC989-33D4-44F5-B8AA-C439A8A04888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 algn="ctr"/>
                  <a:t>89,00</a:t>
                </a:fld>
                <a:endParaRPr lang="pt-BR" sz="1200" b="1"/>
              </a:p>
            </xdr:txBody>
          </xdr:sp>
          <xdr:sp macro="" textlink="">
            <xdr:nvSpPr>
              <xdr:cNvPr id="56" name="CaixaDeTexto 55">
                <a:extLst>
                  <a:ext uri="{FF2B5EF4-FFF2-40B4-BE49-F238E27FC236}">
                    <a16:creationId xmlns:a16="http://schemas.microsoft.com/office/drawing/2014/main" id="{C83A2042-A741-4E61-AEF3-48F269E84BC5}"/>
                  </a:ext>
                </a:extLst>
              </xdr:cNvPr>
              <xdr:cNvSpPr txBox="1"/>
            </xdr:nvSpPr>
            <xdr:spPr>
              <a:xfrm>
                <a:off x="9315600" y="8201024"/>
                <a:ext cx="1152000" cy="252000"/>
              </a:xfrm>
              <a:prstGeom prst="rect">
                <a:avLst/>
              </a:prstGeom>
              <a:noFill/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pt-BR" sz="1100" b="1">
                    <a:solidFill>
                      <a:srgbClr val="FF0000"/>
                    </a:solidFill>
                  </a:rPr>
                  <a:t>largura</a:t>
                </a:r>
                <a:r>
                  <a:rPr lang="pt-BR" sz="1100" b="1" baseline="0">
                    <a:solidFill>
                      <a:srgbClr val="FF0000"/>
                    </a:solidFill>
                  </a:rPr>
                  <a:t> do fundo</a:t>
                </a:r>
                <a:endParaRPr lang="pt-BR" sz="1100" b="1">
                  <a:solidFill>
                    <a:srgbClr val="FF0000"/>
                  </a:solidFill>
                </a:endParaRPr>
              </a:p>
            </xdr:txBody>
          </xdr:sp>
        </xdr:grpSp>
        <xdr:grpSp>
          <xdr:nvGrpSpPr>
            <xdr:cNvPr id="49" name="Agrupar 48">
              <a:extLst>
                <a:ext uri="{FF2B5EF4-FFF2-40B4-BE49-F238E27FC236}">
                  <a16:creationId xmlns:a16="http://schemas.microsoft.com/office/drawing/2014/main" id="{7DCA5C9E-1163-4BBD-AE61-0C5761C41509}"/>
                </a:ext>
              </a:extLst>
            </xdr:cNvPr>
            <xdr:cNvGrpSpPr/>
          </xdr:nvGrpSpPr>
          <xdr:grpSpPr>
            <a:xfrm rot="688828">
              <a:off x="15960322" y="6388761"/>
              <a:ext cx="1509684" cy="499644"/>
              <a:chOff x="8362950" y="8953503"/>
              <a:chExt cx="1509684" cy="499644"/>
            </a:xfrm>
          </xdr:grpSpPr>
          <xdr:sp macro="" textlink="'Simulação com Deficit Diario'!D40">
            <xdr:nvSpPr>
              <xdr:cNvPr id="53" name="CaixaDeTexto 52">
                <a:extLst>
                  <a:ext uri="{FF2B5EF4-FFF2-40B4-BE49-F238E27FC236}">
                    <a16:creationId xmlns:a16="http://schemas.microsoft.com/office/drawing/2014/main" id="{8773B951-6954-4099-BD27-88C0115F862B}"/>
                  </a:ext>
                </a:extLst>
              </xdr:cNvPr>
              <xdr:cNvSpPr txBox="1"/>
            </xdr:nvSpPr>
            <xdr:spPr>
              <a:xfrm>
                <a:off x="8362950" y="8953503"/>
                <a:ext cx="1509540" cy="252000"/>
              </a:xfrm>
              <a:prstGeom prst="rect">
                <a:avLst/>
              </a:prstGeom>
              <a:noFill/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AF555F5A-E7DB-4738-A365-5EE5AAEDCC3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 algn="ctr"/>
                  <a:t>109,00</a:t>
                </a:fld>
                <a:endParaRPr lang="pt-BR" sz="1200" b="1"/>
              </a:p>
            </xdr:txBody>
          </xdr:sp>
          <xdr:sp macro="" textlink="">
            <xdr:nvSpPr>
              <xdr:cNvPr id="54" name="CaixaDeTexto 53">
                <a:extLst>
                  <a:ext uri="{FF2B5EF4-FFF2-40B4-BE49-F238E27FC236}">
                    <a16:creationId xmlns:a16="http://schemas.microsoft.com/office/drawing/2014/main" id="{ED1FF46A-0514-4148-A087-EA6000917B81}"/>
                  </a:ext>
                </a:extLst>
              </xdr:cNvPr>
              <xdr:cNvSpPr txBox="1"/>
            </xdr:nvSpPr>
            <xdr:spPr>
              <a:xfrm>
                <a:off x="8363093" y="9201147"/>
                <a:ext cx="1509541" cy="252000"/>
              </a:xfrm>
              <a:prstGeom prst="rect">
                <a:avLst/>
              </a:prstGeom>
              <a:noFill/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pt-BR" sz="1100" b="1" baseline="0">
                    <a:solidFill>
                      <a:srgbClr val="FF0000"/>
                    </a:solidFill>
                  </a:rPr>
                  <a:t>Comprimento do fundo</a:t>
                </a:r>
                <a:endParaRPr lang="pt-BR" sz="1100" b="1">
                  <a:solidFill>
                    <a:srgbClr val="FF0000"/>
                  </a:solidFill>
                </a:endParaRPr>
              </a:p>
            </xdr:txBody>
          </xdr:sp>
        </xdr:grpSp>
        <xdr:grpSp>
          <xdr:nvGrpSpPr>
            <xdr:cNvPr id="50" name="Agrupar 49">
              <a:extLst>
                <a:ext uri="{FF2B5EF4-FFF2-40B4-BE49-F238E27FC236}">
                  <a16:creationId xmlns:a16="http://schemas.microsoft.com/office/drawing/2014/main" id="{89613E19-241E-427F-BD80-9FFD4B079442}"/>
                </a:ext>
              </a:extLst>
            </xdr:cNvPr>
            <xdr:cNvGrpSpPr/>
          </xdr:nvGrpSpPr>
          <xdr:grpSpPr>
            <a:xfrm>
              <a:off x="13973176" y="7153275"/>
              <a:ext cx="1000126" cy="499649"/>
              <a:chOff x="9315449" y="7953375"/>
              <a:chExt cx="1152151" cy="499649"/>
            </a:xfrm>
          </xdr:grpSpPr>
          <xdr:sp macro="" textlink="'Simulação com Deficit Diario'!D39">
            <xdr:nvSpPr>
              <xdr:cNvPr id="51" name="CaixaDeTexto 50">
                <a:extLst>
                  <a:ext uri="{FF2B5EF4-FFF2-40B4-BE49-F238E27FC236}">
                    <a16:creationId xmlns:a16="http://schemas.microsoft.com/office/drawing/2014/main" id="{4873E388-41F0-4CB1-AC85-4053C99A239A}"/>
                  </a:ext>
                </a:extLst>
              </xdr:cNvPr>
              <xdr:cNvSpPr txBox="1"/>
            </xdr:nvSpPr>
            <xdr:spPr>
              <a:xfrm>
                <a:off x="9315449" y="7953375"/>
                <a:ext cx="1152000" cy="252000"/>
              </a:xfrm>
              <a:prstGeom prst="rect">
                <a:avLst/>
              </a:prstGeom>
              <a:noFill/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fld id="{66233465-19D7-440C-BD34-084F53A222F6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  <a:cs typeface="Calibri"/>
                  </a:rPr>
                  <a:pPr algn="ctr"/>
                  <a:t>5,50</a:t>
                </a:fld>
                <a:endParaRPr lang="pt-BR" sz="1200" b="1" i="0"/>
              </a:p>
            </xdr:txBody>
          </xdr:sp>
          <xdr:sp macro="" textlink="">
            <xdr:nvSpPr>
              <xdr:cNvPr id="52" name="CaixaDeTexto 51">
                <a:extLst>
                  <a:ext uri="{FF2B5EF4-FFF2-40B4-BE49-F238E27FC236}">
                    <a16:creationId xmlns:a16="http://schemas.microsoft.com/office/drawing/2014/main" id="{08EC660A-F042-473B-B53E-9F21B12AC752}"/>
                  </a:ext>
                </a:extLst>
              </xdr:cNvPr>
              <xdr:cNvSpPr txBox="1"/>
            </xdr:nvSpPr>
            <xdr:spPr>
              <a:xfrm>
                <a:off x="9315600" y="8201024"/>
                <a:ext cx="1152000" cy="252000"/>
              </a:xfrm>
              <a:prstGeom prst="rect">
                <a:avLst/>
              </a:prstGeom>
              <a:noFill/>
              <a:ln w="19050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pt-BR" sz="1100" b="1">
                    <a:solidFill>
                      <a:srgbClr val="FF0000"/>
                    </a:solidFill>
                  </a:rPr>
                  <a:t>Profundidade</a:t>
                </a:r>
              </a:p>
            </xdr:txBody>
          </xdr:sp>
        </xdr:grpSp>
      </xdr:grpSp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47A84A8A-4476-4131-A392-38CC70258E0D}"/>
              </a:ext>
            </a:extLst>
          </xdr:cNvPr>
          <xdr:cNvGrpSpPr/>
        </xdr:nvGrpSpPr>
        <xdr:grpSpPr>
          <a:xfrm>
            <a:off x="2784152" y="17513934"/>
            <a:ext cx="1091788" cy="666323"/>
            <a:chOff x="9269810" y="14431298"/>
            <a:chExt cx="1091788" cy="666323"/>
          </a:xfrm>
        </xdr:grpSpPr>
        <xdr:sp macro="" textlink="'Simulação com Deficit Diario'!D42">
          <xdr:nvSpPr>
            <xdr:cNvPr id="37" name="CaixaDeTexto 36">
              <a:extLst>
                <a:ext uri="{FF2B5EF4-FFF2-40B4-BE49-F238E27FC236}">
                  <a16:creationId xmlns:a16="http://schemas.microsoft.com/office/drawing/2014/main" id="{0B672486-452C-4B9D-A8E9-26AF5601D69F}"/>
                </a:ext>
              </a:extLst>
            </xdr:cNvPr>
            <xdr:cNvSpPr txBox="1"/>
          </xdr:nvSpPr>
          <xdr:spPr>
            <a:xfrm rot="19476474">
              <a:off x="9269810" y="14431298"/>
              <a:ext cx="883414" cy="275584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AC88BCD5-F01D-43A0-808E-A057DEA08056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7,78</a:t>
              </a:fld>
              <a:endParaRPr lang="pt-BR" sz="1200" b="1"/>
            </a:p>
          </xdr:txBody>
        </xdr:sp>
        <xdr:sp macro="" textlink="">
          <xdr:nvSpPr>
            <xdr:cNvPr id="38" name="CaixaDeTexto 37">
              <a:extLst>
                <a:ext uri="{FF2B5EF4-FFF2-40B4-BE49-F238E27FC236}">
                  <a16:creationId xmlns:a16="http://schemas.microsoft.com/office/drawing/2014/main" id="{40E9A75E-EB9B-467A-9EB3-D84B93D746B8}"/>
                </a:ext>
              </a:extLst>
            </xdr:cNvPr>
            <xdr:cNvSpPr txBox="1"/>
          </xdr:nvSpPr>
          <xdr:spPr>
            <a:xfrm rot="19476474">
              <a:off x="9478625" y="14629621"/>
              <a:ext cx="882973" cy="468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pt-BR" sz="1100" b="1">
                  <a:solidFill>
                    <a:srgbClr val="FF0000"/>
                  </a:solidFill>
                </a:rPr>
                <a:t>Talude 45º</a:t>
              </a:r>
              <a:br>
                <a:rPr lang="pt-BR" sz="1100" b="1">
                  <a:solidFill>
                    <a:srgbClr val="FF0000"/>
                  </a:solidFill>
                </a:rPr>
              </a:br>
              <a:r>
                <a:rPr lang="pt-BR" sz="1100" b="1">
                  <a:solidFill>
                    <a:srgbClr val="FF0000"/>
                  </a:solidFill>
                </a:rPr>
                <a:t>/Rampa1:1</a:t>
              </a:r>
            </a:p>
          </xdr:txBody>
        </xdr:sp>
      </xdr:grpSp>
    </xdr:grpSp>
    <xdr:clientData/>
  </xdr:twoCellAnchor>
  <xdr:twoCellAnchor editAs="oneCell">
    <xdr:from>
      <xdr:col>0</xdr:col>
      <xdr:colOff>253998</xdr:colOff>
      <xdr:row>0</xdr:row>
      <xdr:rowOff>148164</xdr:rowOff>
    </xdr:from>
    <xdr:to>
      <xdr:col>3</xdr:col>
      <xdr:colOff>104498</xdr:colOff>
      <xdr:row>5</xdr:row>
      <xdr:rowOff>148011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7A0330B2-EFBF-4856-951F-CD91E4AD70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7" t="14603" r="12382" b="6760"/>
        <a:stretch/>
      </xdr:blipFill>
      <xdr:spPr>
        <a:xfrm>
          <a:off x="253998" y="148164"/>
          <a:ext cx="1692000" cy="9629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422373</xdr:colOff>
      <xdr:row>4</xdr:row>
      <xdr:rowOff>138544</xdr:rowOff>
    </xdr:from>
    <xdr:to>
      <xdr:col>11</xdr:col>
      <xdr:colOff>580159</xdr:colOff>
      <xdr:row>28</xdr:row>
      <xdr:rowOff>155985</xdr:rowOff>
    </xdr:to>
    <xdr:grpSp>
      <xdr:nvGrpSpPr>
        <xdr:cNvPr id="2" name="Grupo 62">
          <a:extLst>
            <a:ext uri="{FF2B5EF4-FFF2-40B4-BE49-F238E27FC236}">
              <a16:creationId xmlns:a16="http://schemas.microsoft.com/office/drawing/2014/main" id="{BFDCCCCB-47DE-4BF4-AB2B-30514AD2369B}"/>
            </a:ext>
          </a:extLst>
        </xdr:cNvPr>
        <xdr:cNvGrpSpPr/>
      </xdr:nvGrpSpPr>
      <xdr:grpSpPr>
        <a:xfrm>
          <a:off x="1077970" y="877130"/>
          <a:ext cx="6538497" cy="4439812"/>
          <a:chOff x="345281" y="10295164"/>
          <a:chExt cx="7203281" cy="5040000"/>
        </a:xfrm>
        <a:noFill/>
      </xdr:grpSpPr>
      <xdr:grpSp>
        <xdr:nvGrpSpPr>
          <xdr:cNvPr id="3" name="Grupo 51">
            <a:extLst>
              <a:ext uri="{FF2B5EF4-FFF2-40B4-BE49-F238E27FC236}">
                <a16:creationId xmlns:a16="http://schemas.microsoft.com/office/drawing/2014/main" id="{8B037D2E-6B11-4018-B08F-75CD199E448B}"/>
              </a:ext>
            </a:extLst>
          </xdr:cNvPr>
          <xdr:cNvGrpSpPr/>
        </xdr:nvGrpSpPr>
        <xdr:grpSpPr>
          <a:xfrm>
            <a:off x="345281" y="10295164"/>
            <a:ext cx="7203281" cy="5040000"/>
            <a:chOff x="9999156" y="3471182"/>
            <a:chExt cx="9003454" cy="9006570"/>
          </a:xfrm>
          <a:grpFill/>
        </xdr:grpSpPr>
        <xdr:sp macro="" textlink="">
          <xdr:nvSpPr>
            <xdr:cNvPr id="12" name="Retângulo 11">
              <a:extLst>
                <a:ext uri="{FF2B5EF4-FFF2-40B4-BE49-F238E27FC236}">
                  <a16:creationId xmlns:a16="http://schemas.microsoft.com/office/drawing/2014/main" id="{365C27C4-C3B3-405B-86A7-95C7C1F6CEB2}"/>
                </a:ext>
              </a:extLst>
            </xdr:cNvPr>
            <xdr:cNvSpPr/>
          </xdr:nvSpPr>
          <xdr:spPr>
            <a:xfrm>
              <a:off x="10002610" y="3471182"/>
              <a:ext cx="9000000" cy="9000000"/>
            </a:xfrm>
            <a:prstGeom prst="rect">
              <a:avLst/>
            </a:prstGeom>
            <a:grpFill/>
            <a:ln w="381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1" cap="none" spc="0">
                <a:ln w="10160">
                  <a:solidFill>
                    <a:schemeClr val="accent5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</a:endParaRPr>
            </a:p>
          </xdr:txBody>
        </xdr:sp>
        <xdr:sp macro="" textlink="">
          <xdr:nvSpPr>
            <xdr:cNvPr id="13" name="Retângulo 12">
              <a:extLst>
                <a:ext uri="{FF2B5EF4-FFF2-40B4-BE49-F238E27FC236}">
                  <a16:creationId xmlns:a16="http://schemas.microsoft.com/office/drawing/2014/main" id="{8B89436D-D3D9-4F38-B040-BE380B52360A}"/>
                </a:ext>
              </a:extLst>
            </xdr:cNvPr>
            <xdr:cNvSpPr/>
          </xdr:nvSpPr>
          <xdr:spPr>
            <a:xfrm>
              <a:off x="12152539" y="5634718"/>
              <a:ext cx="4680000" cy="4680000"/>
            </a:xfrm>
            <a:prstGeom prst="rect">
              <a:avLst/>
            </a:prstGeom>
            <a:grpFill/>
            <a:ln w="381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1" cap="none" spc="0">
                <a:ln w="10160">
                  <a:solidFill>
                    <a:schemeClr val="accent5"/>
                  </a:solidFill>
                  <a:prstDash val="solid"/>
                </a:ln>
                <a:solidFill>
                  <a:srgbClr val="FFFFFF"/>
                </a:solidFill>
                <a:effectLst>
                  <a:outerShdw blurRad="38100" dist="22860" dir="5400000" algn="tl" rotWithShape="0">
                    <a:srgbClr val="000000">
                      <a:alpha val="30000"/>
                    </a:srgbClr>
                  </a:outerShdw>
                </a:effectLst>
              </a:endParaRPr>
            </a:p>
          </xdr:txBody>
        </xdr:sp>
        <xdr:cxnSp macro="">
          <xdr:nvCxnSpPr>
            <xdr:cNvPr id="14" name="Conector reto 13">
              <a:extLst>
                <a:ext uri="{FF2B5EF4-FFF2-40B4-BE49-F238E27FC236}">
                  <a16:creationId xmlns:a16="http://schemas.microsoft.com/office/drawing/2014/main" id="{2E91324E-0B96-4368-976C-5C715F2C1839}"/>
                </a:ext>
              </a:extLst>
            </xdr:cNvPr>
            <xdr:cNvCxnSpPr/>
          </xdr:nvCxnSpPr>
          <xdr:spPr>
            <a:xfrm flipH="1" flipV="1">
              <a:off x="9999156" y="3471915"/>
              <a:ext cx="2157258" cy="2159348"/>
            </a:xfrm>
            <a:prstGeom prst="line">
              <a:avLst/>
            </a:prstGeom>
            <a:grpFill/>
            <a:ln w="381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Conector reto 14">
              <a:extLst>
                <a:ext uri="{FF2B5EF4-FFF2-40B4-BE49-F238E27FC236}">
                  <a16:creationId xmlns:a16="http://schemas.microsoft.com/office/drawing/2014/main" id="{41915A6E-C477-4A8F-B448-6E482245F935}"/>
                </a:ext>
              </a:extLst>
            </xdr:cNvPr>
            <xdr:cNvCxnSpPr/>
          </xdr:nvCxnSpPr>
          <xdr:spPr>
            <a:xfrm flipV="1">
              <a:off x="16832036" y="3479241"/>
              <a:ext cx="2169816" cy="2154116"/>
            </a:xfrm>
            <a:prstGeom prst="line">
              <a:avLst/>
            </a:prstGeom>
            <a:grpFill/>
            <a:ln w="381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Conector reto 15">
              <a:extLst>
                <a:ext uri="{FF2B5EF4-FFF2-40B4-BE49-F238E27FC236}">
                  <a16:creationId xmlns:a16="http://schemas.microsoft.com/office/drawing/2014/main" id="{504EC958-15DF-4435-B3F1-157D8B93A26B}"/>
                </a:ext>
              </a:extLst>
            </xdr:cNvPr>
            <xdr:cNvCxnSpPr/>
          </xdr:nvCxnSpPr>
          <xdr:spPr>
            <a:xfrm flipV="1">
              <a:off x="10001250" y="10306887"/>
              <a:ext cx="2155163" cy="2170865"/>
            </a:xfrm>
            <a:prstGeom prst="line">
              <a:avLst/>
            </a:prstGeom>
            <a:grpFill/>
            <a:ln w="381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Conector reto 16">
              <a:extLst>
                <a:ext uri="{FF2B5EF4-FFF2-40B4-BE49-F238E27FC236}">
                  <a16:creationId xmlns:a16="http://schemas.microsoft.com/office/drawing/2014/main" id="{9DE4C4CB-DBAF-4DE9-A8B7-39431B8DAA02}"/>
                </a:ext>
              </a:extLst>
            </xdr:cNvPr>
            <xdr:cNvCxnSpPr/>
          </xdr:nvCxnSpPr>
          <xdr:spPr>
            <a:xfrm>
              <a:off x="16838316" y="10306887"/>
              <a:ext cx="2163536" cy="2154115"/>
            </a:xfrm>
            <a:prstGeom prst="line">
              <a:avLst/>
            </a:prstGeom>
            <a:grpFill/>
            <a:ln w="38100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'Simulação com Deficit Diario'!D37">
        <xdr:nvSpPr>
          <xdr:cNvPr id="4" name="CaixaDeTexto 3">
            <a:extLst>
              <a:ext uri="{FF2B5EF4-FFF2-40B4-BE49-F238E27FC236}">
                <a16:creationId xmlns:a16="http://schemas.microsoft.com/office/drawing/2014/main" id="{8A3089E2-EC45-4B28-9EE4-AC832E67F462}"/>
              </a:ext>
            </a:extLst>
          </xdr:cNvPr>
          <xdr:cNvSpPr txBox="1"/>
        </xdr:nvSpPr>
        <xdr:spPr>
          <a:xfrm>
            <a:off x="3381373" y="10310825"/>
            <a:ext cx="1333585" cy="252000"/>
          </a:xfrm>
          <a:prstGeom prst="rect">
            <a:avLst/>
          </a:prstGeom>
          <a:grpFill/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ABA5A48-21CC-4D91-BE42-9080B6E57529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120,00</a:t>
            </a:fld>
            <a:endParaRPr lang="pt-BR" sz="1200" b="1"/>
          </a:p>
        </xdr:txBody>
      </xdr:sp>
      <xdr:sp macro="" textlink="'Simulação com Deficit Diario'!D40">
        <xdr:nvSpPr>
          <xdr:cNvPr id="5" name="CaixaDeTexto 4">
            <a:extLst>
              <a:ext uri="{FF2B5EF4-FFF2-40B4-BE49-F238E27FC236}">
                <a16:creationId xmlns:a16="http://schemas.microsoft.com/office/drawing/2014/main" id="{99013585-B219-42CE-B23B-C4847A01F305}"/>
              </a:ext>
            </a:extLst>
          </xdr:cNvPr>
          <xdr:cNvSpPr txBox="1"/>
        </xdr:nvSpPr>
        <xdr:spPr>
          <a:xfrm>
            <a:off x="3374103" y="11510972"/>
            <a:ext cx="1513800" cy="252000"/>
          </a:xfrm>
          <a:prstGeom prst="rect">
            <a:avLst/>
          </a:prstGeom>
          <a:grpFill/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B703A33-30B8-4434-820E-C0F84A40F01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109,00</a:t>
            </a:fld>
            <a:endParaRPr lang="pt-BR" sz="1200" b="1"/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F817F698-1DBA-4D68-AC76-01B5382C3529}"/>
              </a:ext>
            </a:extLst>
          </xdr:cNvPr>
          <xdr:cNvSpPr txBox="1"/>
        </xdr:nvSpPr>
        <xdr:spPr>
          <a:xfrm rot="16200000">
            <a:off x="1893177" y="12599669"/>
            <a:ext cx="1152000" cy="252000"/>
          </a:xfrm>
          <a:prstGeom prst="rect">
            <a:avLst/>
          </a:prstGeom>
          <a:grpFill/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100" b="1">
                <a:solidFill>
                  <a:srgbClr val="FF0000"/>
                </a:solidFill>
              </a:rPr>
              <a:t>largura</a:t>
            </a:r>
            <a:r>
              <a:rPr lang="pt-BR" sz="1100" b="1" baseline="0">
                <a:solidFill>
                  <a:srgbClr val="FF0000"/>
                </a:solidFill>
              </a:rPr>
              <a:t> do fundo</a:t>
            </a:r>
            <a:endParaRPr lang="pt-BR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2553983D-CB89-456D-80B7-AEB1C0BDCB7C}"/>
              </a:ext>
            </a:extLst>
          </xdr:cNvPr>
          <xdr:cNvSpPr txBox="1"/>
        </xdr:nvSpPr>
        <xdr:spPr>
          <a:xfrm>
            <a:off x="3374253" y="11768146"/>
            <a:ext cx="1513800" cy="252000"/>
          </a:xfrm>
          <a:prstGeom prst="rect">
            <a:avLst/>
          </a:prstGeom>
          <a:grpFill/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100" b="1" baseline="0">
                <a:solidFill>
                  <a:srgbClr val="FF0000"/>
                </a:solidFill>
              </a:rPr>
              <a:t>Comprimento do fundo</a:t>
            </a:r>
            <a:endParaRPr lang="pt-BR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BF75F78D-D90C-45D3-9592-3678208E02A7}"/>
              </a:ext>
            </a:extLst>
          </xdr:cNvPr>
          <xdr:cNvSpPr txBox="1"/>
        </xdr:nvSpPr>
        <xdr:spPr>
          <a:xfrm>
            <a:off x="3379016" y="10558473"/>
            <a:ext cx="1333585" cy="252000"/>
          </a:xfrm>
          <a:prstGeom prst="rect">
            <a:avLst/>
          </a:prstGeom>
          <a:grpFill/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100" b="1">
                <a:solidFill>
                  <a:srgbClr val="FF0000"/>
                </a:solidFill>
              </a:rPr>
              <a:t>Comprimento</a:t>
            </a:r>
            <a:r>
              <a:rPr lang="pt-BR" sz="1100" b="1" baseline="0">
                <a:solidFill>
                  <a:srgbClr val="FF0000"/>
                </a:solidFill>
              </a:rPr>
              <a:t> Borda</a:t>
            </a:r>
            <a:endParaRPr lang="pt-BR" sz="1100" b="1">
              <a:solidFill>
                <a:srgbClr val="FF0000"/>
              </a:solidFill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E4AB9D9A-541B-4738-908B-152162CA0AD3}"/>
              </a:ext>
            </a:extLst>
          </xdr:cNvPr>
          <xdr:cNvSpPr txBox="1"/>
        </xdr:nvSpPr>
        <xdr:spPr>
          <a:xfrm rot="16200000">
            <a:off x="61156" y="12636925"/>
            <a:ext cx="1368000" cy="252000"/>
          </a:xfrm>
          <a:prstGeom prst="rect">
            <a:avLst/>
          </a:prstGeom>
          <a:grpFill/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pt-BR" sz="1100" b="1" baseline="0">
                <a:solidFill>
                  <a:srgbClr val="FF0000"/>
                </a:solidFill>
              </a:rPr>
              <a:t>Largura Borda</a:t>
            </a:r>
            <a:endParaRPr lang="pt-BR" sz="1100" b="1">
              <a:solidFill>
                <a:srgbClr val="FF0000"/>
              </a:solidFill>
            </a:endParaRPr>
          </a:p>
        </xdr:txBody>
      </xdr:sp>
      <xdr:sp macro="" textlink="'Simulação com Deficit Diario'!D38">
        <xdr:nvSpPr>
          <xdr:cNvPr id="10" name="CaixaDeTexto 9">
            <a:extLst>
              <a:ext uri="{FF2B5EF4-FFF2-40B4-BE49-F238E27FC236}">
                <a16:creationId xmlns:a16="http://schemas.microsoft.com/office/drawing/2014/main" id="{FBB97B32-3A4D-4AE1-A520-E471209EF98A}"/>
              </a:ext>
            </a:extLst>
          </xdr:cNvPr>
          <xdr:cNvSpPr txBox="1"/>
        </xdr:nvSpPr>
        <xdr:spPr>
          <a:xfrm rot="16200000">
            <a:off x="-200782" y="12636925"/>
            <a:ext cx="1368000" cy="252000"/>
          </a:xfrm>
          <a:prstGeom prst="rect">
            <a:avLst/>
          </a:prstGeom>
          <a:grpFill/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fld id="{26F5C3F1-8D36-444F-97ED-38EFB7AECCF3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100,00</a:t>
            </a:fld>
            <a:endParaRPr lang="pt-BR" sz="1200" b="1">
              <a:solidFill>
                <a:srgbClr val="FF0000"/>
              </a:solidFill>
            </a:endParaRPr>
          </a:p>
        </xdr:txBody>
      </xdr:sp>
      <xdr:sp macro="" textlink="'Simulação com Deficit Diario'!D41">
        <xdr:nvSpPr>
          <xdr:cNvPr id="11" name="CaixaDeTexto 10">
            <a:extLst>
              <a:ext uri="{FF2B5EF4-FFF2-40B4-BE49-F238E27FC236}">
                <a16:creationId xmlns:a16="http://schemas.microsoft.com/office/drawing/2014/main" id="{18607552-78B7-470A-9921-E161132AEADD}"/>
              </a:ext>
            </a:extLst>
          </xdr:cNvPr>
          <xdr:cNvSpPr txBox="1"/>
        </xdr:nvSpPr>
        <xdr:spPr>
          <a:xfrm rot="16200000">
            <a:off x="1631240" y="12599670"/>
            <a:ext cx="1152000" cy="252000"/>
          </a:xfrm>
          <a:prstGeom prst="rect">
            <a:avLst/>
          </a:prstGeom>
          <a:grpFill/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fld id="{5916622C-12F3-4ADA-918B-D1495D73DE3B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89,00</a:t>
            </a:fld>
            <a:endParaRPr lang="pt-BR" sz="1200" b="1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0</xdr:col>
      <xdr:colOff>96117</xdr:colOff>
      <xdr:row>0</xdr:row>
      <xdr:rowOff>72736</xdr:rowOff>
    </xdr:from>
    <xdr:to>
      <xdr:col>2</xdr:col>
      <xdr:colOff>277092</xdr:colOff>
      <xdr:row>4</xdr:row>
      <xdr:rowOff>108544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D6A94B20-A3F4-4CEA-92C3-48E70337DD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7" t="14603" r="12382" b="6760"/>
        <a:stretch/>
      </xdr:blipFill>
      <xdr:spPr>
        <a:xfrm>
          <a:off x="96117" y="72736"/>
          <a:ext cx="1393248" cy="797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243424</xdr:colOff>
      <xdr:row>5</xdr:row>
      <xdr:rowOff>146956</xdr:rowOff>
    </xdr:from>
    <xdr:to>
      <xdr:col>16</xdr:col>
      <xdr:colOff>181211</xdr:colOff>
      <xdr:row>28</xdr:row>
      <xdr:rowOff>65330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9230A8B2-97AD-83B6-CBE3-0030538F80BE}"/>
            </a:ext>
          </a:extLst>
        </xdr:cNvPr>
        <xdr:cNvGrpSpPr/>
      </xdr:nvGrpSpPr>
      <xdr:grpSpPr>
        <a:xfrm>
          <a:off x="243424" y="1103689"/>
          <a:ext cx="9691387" cy="4236374"/>
          <a:chOff x="9497669" y="4487176"/>
          <a:chExt cx="9743245" cy="4299874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5013B3F3-400F-B54B-B039-E790739FA103}"/>
              </a:ext>
            </a:extLst>
          </xdr:cNvPr>
          <xdr:cNvGrpSpPr/>
        </xdr:nvGrpSpPr>
        <xdr:grpSpPr>
          <a:xfrm>
            <a:off x="9533560" y="4704523"/>
            <a:ext cx="9664561" cy="4082527"/>
            <a:chOff x="9533560" y="4704523"/>
            <a:chExt cx="9664561" cy="4082527"/>
          </a:xfrm>
        </xdr:grpSpPr>
        <xdr:cxnSp macro="">
          <xdr:nvCxnSpPr>
            <xdr:cNvPr id="32" name="Conector reto 31">
              <a:extLst>
                <a:ext uri="{FF2B5EF4-FFF2-40B4-BE49-F238E27FC236}">
                  <a16:creationId xmlns:a16="http://schemas.microsoft.com/office/drawing/2014/main" id="{3208BC6B-CC2E-DBD0-E7D0-86A46A02278D}"/>
                </a:ext>
              </a:extLst>
            </xdr:cNvPr>
            <xdr:cNvCxnSpPr/>
          </xdr:nvCxnSpPr>
          <xdr:spPr>
            <a:xfrm flipV="1">
              <a:off x="16143083" y="8652994"/>
              <a:ext cx="694266" cy="129470"/>
            </a:xfrm>
            <a:prstGeom prst="line">
              <a:avLst/>
            </a:prstGeom>
            <a:ln/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33" name="Agrupar 32">
              <a:extLst>
                <a:ext uri="{FF2B5EF4-FFF2-40B4-BE49-F238E27FC236}">
                  <a16:creationId xmlns:a16="http://schemas.microsoft.com/office/drawing/2014/main" id="{C6BCF6AC-B42B-9E25-6E64-6434330434BB}"/>
                </a:ext>
              </a:extLst>
            </xdr:cNvPr>
            <xdr:cNvGrpSpPr/>
          </xdr:nvGrpSpPr>
          <xdr:grpSpPr>
            <a:xfrm>
              <a:off x="9533560" y="4704523"/>
              <a:ext cx="9664561" cy="4082527"/>
              <a:chOff x="9539910" y="4768023"/>
              <a:chExt cx="9667736" cy="4139677"/>
            </a:xfrm>
          </xdr:grpSpPr>
          <xdr:cxnSp macro="">
            <xdr:nvCxnSpPr>
              <xdr:cNvPr id="34" name="Conector reto 33">
                <a:extLst>
                  <a:ext uri="{FF2B5EF4-FFF2-40B4-BE49-F238E27FC236}">
                    <a16:creationId xmlns:a16="http://schemas.microsoft.com/office/drawing/2014/main" id="{D06102EA-E6CD-8E35-5D87-E4CCCF7767C1}"/>
                  </a:ext>
                </a:extLst>
              </xdr:cNvPr>
              <xdr:cNvCxnSpPr/>
            </xdr:nvCxnSpPr>
            <xdr:spPr>
              <a:xfrm flipV="1">
                <a:off x="9550493" y="4768023"/>
                <a:ext cx="4029642" cy="1989512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35" name="Conector reto 34">
                <a:extLst>
                  <a:ext uri="{FF2B5EF4-FFF2-40B4-BE49-F238E27FC236}">
                    <a16:creationId xmlns:a16="http://schemas.microsoft.com/office/drawing/2014/main" id="{97BAC87B-2F15-DCF4-7937-E40A4A723C5B}"/>
                  </a:ext>
                </a:extLst>
              </xdr:cNvPr>
              <xdr:cNvCxnSpPr/>
            </xdr:nvCxnSpPr>
            <xdr:spPr>
              <a:xfrm>
                <a:off x="13558968" y="4771550"/>
                <a:ext cx="287691" cy="951802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36" name="Conector reto 35">
                <a:extLst>
                  <a:ext uri="{FF2B5EF4-FFF2-40B4-BE49-F238E27FC236}">
                    <a16:creationId xmlns:a16="http://schemas.microsoft.com/office/drawing/2014/main" id="{24179E87-14BA-CD94-9DFD-A8E7E7BA977C}"/>
                  </a:ext>
                </a:extLst>
              </xdr:cNvPr>
              <xdr:cNvCxnSpPr/>
            </xdr:nvCxnSpPr>
            <xdr:spPr>
              <a:xfrm>
                <a:off x="13558968" y="4771550"/>
                <a:ext cx="5648678" cy="964502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37" name="Conector reto 36">
                <a:extLst>
                  <a:ext uri="{FF2B5EF4-FFF2-40B4-BE49-F238E27FC236}">
                    <a16:creationId xmlns:a16="http://schemas.microsoft.com/office/drawing/2014/main" id="{36A93D9F-A391-0CAB-4758-71187A79C5BE}"/>
                  </a:ext>
                </a:extLst>
              </xdr:cNvPr>
              <xdr:cNvCxnSpPr/>
            </xdr:nvCxnSpPr>
            <xdr:spPr>
              <a:xfrm flipH="1">
                <a:off x="16848621" y="5729878"/>
                <a:ext cx="2359025" cy="3047823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38" name="Conector reto 37">
                <a:extLst>
                  <a:ext uri="{FF2B5EF4-FFF2-40B4-BE49-F238E27FC236}">
                    <a16:creationId xmlns:a16="http://schemas.microsoft.com/office/drawing/2014/main" id="{CAD3287D-368D-E9A7-CE5B-858E8603B551}"/>
                  </a:ext>
                </a:extLst>
              </xdr:cNvPr>
              <xdr:cNvCxnSpPr/>
            </xdr:nvCxnSpPr>
            <xdr:spPr>
              <a:xfrm flipH="1" flipV="1">
                <a:off x="9547847" y="6759299"/>
                <a:ext cx="7316649" cy="2018402"/>
              </a:xfrm>
              <a:prstGeom prst="line">
                <a:avLst/>
              </a:prstGeom>
              <a:ln w="28575"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39" name="Conector reto 38">
                <a:extLst>
                  <a:ext uri="{FF2B5EF4-FFF2-40B4-BE49-F238E27FC236}">
                    <a16:creationId xmlns:a16="http://schemas.microsoft.com/office/drawing/2014/main" id="{41040A48-F405-BB0E-542F-34E85C46F77E}"/>
                  </a:ext>
                </a:extLst>
              </xdr:cNvPr>
              <xdr:cNvCxnSpPr/>
            </xdr:nvCxnSpPr>
            <xdr:spPr>
              <a:xfrm flipH="1" flipV="1">
                <a:off x="9539910" y="6757535"/>
                <a:ext cx="1501636" cy="696985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0" name="Conector reto 39">
                <a:extLst>
                  <a:ext uri="{FF2B5EF4-FFF2-40B4-BE49-F238E27FC236}">
                    <a16:creationId xmlns:a16="http://schemas.microsoft.com/office/drawing/2014/main" id="{8672B815-7780-9CB6-4639-FF3A85C88E49}"/>
                  </a:ext>
                </a:extLst>
              </xdr:cNvPr>
              <xdr:cNvCxnSpPr/>
            </xdr:nvCxnSpPr>
            <xdr:spPr>
              <a:xfrm>
                <a:off x="11025318" y="7450023"/>
                <a:ext cx="5144912" cy="1457677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1" name="Conector reto 40">
                <a:extLst>
                  <a:ext uri="{FF2B5EF4-FFF2-40B4-BE49-F238E27FC236}">
                    <a16:creationId xmlns:a16="http://schemas.microsoft.com/office/drawing/2014/main" id="{8A22886E-6A81-CAC0-ADF1-9CDF78AC2FC7}"/>
                  </a:ext>
                </a:extLst>
              </xdr:cNvPr>
              <xdr:cNvCxnSpPr/>
            </xdr:nvCxnSpPr>
            <xdr:spPr>
              <a:xfrm flipV="1">
                <a:off x="11314596" y="5728114"/>
                <a:ext cx="2525712" cy="1508125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2" name="Conector reto 41">
                <a:extLst>
                  <a:ext uri="{FF2B5EF4-FFF2-40B4-BE49-F238E27FC236}">
                    <a16:creationId xmlns:a16="http://schemas.microsoft.com/office/drawing/2014/main" id="{EB3BFD4E-7B1E-C516-2C30-1AC3CE341903}"/>
                  </a:ext>
                </a:extLst>
              </xdr:cNvPr>
              <xdr:cNvCxnSpPr/>
            </xdr:nvCxnSpPr>
            <xdr:spPr>
              <a:xfrm>
                <a:off x="13841896" y="5723352"/>
                <a:ext cx="4241801" cy="888654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3" name="Conector reto 42">
                <a:extLst>
                  <a:ext uri="{FF2B5EF4-FFF2-40B4-BE49-F238E27FC236}">
                    <a16:creationId xmlns:a16="http://schemas.microsoft.com/office/drawing/2014/main" id="{36955483-F028-1D31-9120-BE85AD96B9A4}"/>
                  </a:ext>
                </a:extLst>
              </xdr:cNvPr>
              <xdr:cNvCxnSpPr/>
            </xdr:nvCxnSpPr>
            <xdr:spPr>
              <a:xfrm flipH="1">
                <a:off x="18073115" y="5733406"/>
                <a:ext cx="1120420" cy="875073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44" name="Conector reto 43">
                <a:extLst>
                  <a:ext uri="{FF2B5EF4-FFF2-40B4-BE49-F238E27FC236}">
                    <a16:creationId xmlns:a16="http://schemas.microsoft.com/office/drawing/2014/main" id="{6E267184-30C7-503B-692A-CB1C22F0FDE9}"/>
                  </a:ext>
                </a:extLst>
              </xdr:cNvPr>
              <xdr:cNvCxnSpPr/>
            </xdr:nvCxnSpPr>
            <xdr:spPr>
              <a:xfrm flipV="1">
                <a:off x="16356496" y="6612006"/>
                <a:ext cx="1719264" cy="2018403"/>
              </a:xfrm>
              <a:prstGeom prst="line">
                <a:avLst/>
              </a:prstGeom>
              <a:ln/>
            </xdr:spPr>
            <xdr:style>
              <a:lnRef idx="3">
                <a:schemeClr val="dk1"/>
              </a:lnRef>
              <a:fillRef idx="0">
                <a:schemeClr val="dk1"/>
              </a:fillRef>
              <a:effectRef idx="2">
                <a:schemeClr val="dk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8" name="Conector de seta reta 174">
            <a:extLst>
              <a:ext uri="{FF2B5EF4-FFF2-40B4-BE49-F238E27FC236}">
                <a16:creationId xmlns:a16="http://schemas.microsoft.com/office/drawing/2014/main" id="{50AF4A9C-9869-BECA-672D-75ECCC2BD996}"/>
              </a:ext>
            </a:extLst>
          </xdr:cNvPr>
          <xdr:cNvCxnSpPr/>
        </xdr:nvCxnSpPr>
        <xdr:spPr>
          <a:xfrm flipV="1">
            <a:off x="9497669" y="4596840"/>
            <a:ext cx="4024934" cy="1965876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Conector de seta reta 181">
            <a:extLst>
              <a:ext uri="{FF2B5EF4-FFF2-40B4-BE49-F238E27FC236}">
                <a16:creationId xmlns:a16="http://schemas.microsoft.com/office/drawing/2014/main" id="{993D18B4-6E9A-2163-D32F-8D81509145F1}"/>
              </a:ext>
            </a:extLst>
          </xdr:cNvPr>
          <xdr:cNvCxnSpPr/>
        </xdr:nvCxnSpPr>
        <xdr:spPr>
          <a:xfrm>
            <a:off x="13564016" y="4588556"/>
            <a:ext cx="5676898" cy="957478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0" name="Conector de seta reta 183">
            <a:extLst>
              <a:ext uri="{FF2B5EF4-FFF2-40B4-BE49-F238E27FC236}">
                <a16:creationId xmlns:a16="http://schemas.microsoft.com/office/drawing/2014/main" id="{9191E919-7758-8B79-BF1C-55C2BE08A6DE}"/>
              </a:ext>
            </a:extLst>
          </xdr:cNvPr>
          <xdr:cNvCxnSpPr/>
        </xdr:nvCxnSpPr>
        <xdr:spPr>
          <a:xfrm>
            <a:off x="13858875" y="5737777"/>
            <a:ext cx="4071731" cy="842756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Conector de seta reta 186">
            <a:extLst>
              <a:ext uri="{FF2B5EF4-FFF2-40B4-BE49-F238E27FC236}">
                <a16:creationId xmlns:a16="http://schemas.microsoft.com/office/drawing/2014/main" id="{F6772CCC-4FD1-4FC3-DBDB-74154FE51C51}"/>
              </a:ext>
            </a:extLst>
          </xdr:cNvPr>
          <xdr:cNvCxnSpPr/>
        </xdr:nvCxnSpPr>
        <xdr:spPr>
          <a:xfrm flipV="1">
            <a:off x="11519866" y="5746060"/>
            <a:ext cx="2292627" cy="1364559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D07E246C-F5D1-88B0-8CC4-FC5124B6E47C}"/>
              </a:ext>
            </a:extLst>
          </xdr:cNvPr>
          <xdr:cNvGrpSpPr/>
        </xdr:nvGrpSpPr>
        <xdr:grpSpPr>
          <a:xfrm>
            <a:off x="14471425" y="5071442"/>
            <a:ext cx="1289604" cy="2061871"/>
            <a:chOff x="14958028" y="4878457"/>
            <a:chExt cx="1299543" cy="2051932"/>
          </a:xfrm>
        </xdr:grpSpPr>
        <xdr:cxnSp macro="">
          <xdr:nvCxnSpPr>
            <xdr:cNvPr id="29" name="Conector de seta reta 223">
              <a:extLst>
                <a:ext uri="{FF2B5EF4-FFF2-40B4-BE49-F238E27FC236}">
                  <a16:creationId xmlns:a16="http://schemas.microsoft.com/office/drawing/2014/main" id="{C46D5A58-EC37-4BBB-5E14-E2BC4349F4A0}"/>
                </a:ext>
              </a:extLst>
            </xdr:cNvPr>
            <xdr:cNvCxnSpPr/>
          </xdr:nvCxnSpPr>
          <xdr:spPr>
            <a:xfrm flipH="1" flipV="1">
              <a:off x="14958028" y="5814389"/>
              <a:ext cx="25209" cy="1116000"/>
            </a:xfrm>
            <a:prstGeom prst="straightConnector1">
              <a:avLst/>
            </a:prstGeom>
            <a:ln>
              <a:solidFill>
                <a:srgbClr val="FF0000"/>
              </a:solidFill>
              <a:headEnd type="triangle"/>
              <a:tailEnd type="triangle"/>
            </a:ln>
          </xdr:spPr>
          <xdr:style>
            <a:lnRef idx="3">
              <a:schemeClr val="dk1"/>
            </a:lnRef>
            <a:fillRef idx="0">
              <a:schemeClr val="dk1"/>
            </a:fillRef>
            <a:effectRef idx="2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" name="Conector reto 29">
              <a:extLst>
                <a:ext uri="{FF2B5EF4-FFF2-40B4-BE49-F238E27FC236}">
                  <a16:creationId xmlns:a16="http://schemas.microsoft.com/office/drawing/2014/main" id="{E56F589A-3A9D-6B2B-1D0E-9E2B4EFDF02C}"/>
                </a:ext>
              </a:extLst>
            </xdr:cNvPr>
            <xdr:cNvCxnSpPr/>
          </xdr:nvCxnSpPr>
          <xdr:spPr>
            <a:xfrm flipV="1">
              <a:off x="14966674" y="4878457"/>
              <a:ext cx="1234109" cy="935934"/>
            </a:xfrm>
            <a:prstGeom prst="line">
              <a:avLst/>
            </a:prstGeom>
            <a:ln w="12700">
              <a:solidFill>
                <a:schemeClr val="bg1">
                  <a:lumMod val="65000"/>
                </a:schemeClr>
              </a:solidFill>
              <a:prstDash val="sysDas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" name="Conector reto 30">
              <a:extLst>
                <a:ext uri="{FF2B5EF4-FFF2-40B4-BE49-F238E27FC236}">
                  <a16:creationId xmlns:a16="http://schemas.microsoft.com/office/drawing/2014/main" id="{54A0DB11-588A-D1D0-5A93-8B011D73721A}"/>
                </a:ext>
              </a:extLst>
            </xdr:cNvPr>
            <xdr:cNvCxnSpPr/>
          </xdr:nvCxnSpPr>
          <xdr:spPr>
            <a:xfrm flipV="1">
              <a:off x="14983239" y="5855805"/>
              <a:ext cx="1274332" cy="1052199"/>
            </a:xfrm>
            <a:prstGeom prst="line">
              <a:avLst/>
            </a:prstGeom>
            <a:ln w="12700">
              <a:solidFill>
                <a:schemeClr val="bg1">
                  <a:lumMod val="65000"/>
                </a:schemeClr>
              </a:solidFill>
              <a:prstDash val="sysDas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Conector de seta reta 223">
            <a:extLst>
              <a:ext uri="{FF2B5EF4-FFF2-40B4-BE49-F238E27FC236}">
                <a16:creationId xmlns:a16="http://schemas.microsoft.com/office/drawing/2014/main" id="{E5D9DECE-0E05-067C-30B8-60DABBFB3BC4}"/>
              </a:ext>
            </a:extLst>
          </xdr:cNvPr>
          <xdr:cNvCxnSpPr/>
        </xdr:nvCxnSpPr>
        <xdr:spPr>
          <a:xfrm flipH="1" flipV="1">
            <a:off x="11958845" y="5488056"/>
            <a:ext cx="651011" cy="864207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1A824C6B-0297-05F6-46BA-90B90CDE69DA}"/>
              </a:ext>
            </a:extLst>
          </xdr:cNvPr>
          <xdr:cNvGrpSpPr/>
        </xdr:nvGrpSpPr>
        <xdr:grpSpPr>
          <a:xfrm rot="551352">
            <a:off x="15514616" y="4487176"/>
            <a:ext cx="1332189" cy="499650"/>
            <a:chOff x="11220446" y="8620128"/>
            <a:chExt cx="1332189" cy="499650"/>
          </a:xfrm>
        </xdr:grpSpPr>
        <xdr:sp macro="" textlink="$U$5">
          <xdr:nvSpPr>
            <xdr:cNvPr id="27" name="CaixaDeTexto 26">
              <a:extLst>
                <a:ext uri="{FF2B5EF4-FFF2-40B4-BE49-F238E27FC236}">
                  <a16:creationId xmlns:a16="http://schemas.microsoft.com/office/drawing/2014/main" id="{5DF209D4-0D04-9F60-470B-FC3C855170AE}"/>
                </a:ext>
              </a:extLst>
            </xdr:cNvPr>
            <xdr:cNvSpPr txBox="1"/>
          </xdr:nvSpPr>
          <xdr:spPr>
            <a:xfrm>
              <a:off x="11222802" y="8620128"/>
              <a:ext cx="1329833" cy="252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19C57664-5FD4-4C78-AAFE-E891199D6C36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30,00</a:t>
              </a:fld>
              <a:endParaRPr lang="en-US" sz="1200" b="1" i="0" u="none" strike="noStrike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sp macro="" textlink="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36B12D49-ACA8-1A93-9885-78CBC888EFFA}"/>
                </a:ext>
              </a:extLst>
            </xdr:cNvPr>
            <xdr:cNvSpPr txBox="1"/>
          </xdr:nvSpPr>
          <xdr:spPr>
            <a:xfrm>
              <a:off x="11220446" y="8867778"/>
              <a:ext cx="1329833" cy="252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pt-BR" sz="1100" b="1" baseline="0">
                  <a:solidFill>
                    <a:srgbClr val="FF0000"/>
                  </a:solidFill>
                </a:rPr>
                <a:t>Comprimento Borda</a:t>
              </a:r>
              <a:endParaRPr lang="pt-BR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811D819C-5ACB-4AD9-51B8-8A3E0B892126}"/>
              </a:ext>
            </a:extLst>
          </xdr:cNvPr>
          <xdr:cNvGrpSpPr/>
        </xdr:nvGrpSpPr>
        <xdr:grpSpPr>
          <a:xfrm rot="20063158">
            <a:off x="10894423" y="4964698"/>
            <a:ext cx="1332000" cy="509177"/>
            <a:chOff x="9656174" y="4221747"/>
            <a:chExt cx="1332000" cy="509177"/>
          </a:xfrm>
        </xdr:grpSpPr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434DD1AF-17D2-8BA4-6EFE-CBF1CB5CF755}"/>
                </a:ext>
              </a:extLst>
            </xdr:cNvPr>
            <xdr:cNvSpPr txBox="1"/>
          </xdr:nvSpPr>
          <xdr:spPr>
            <a:xfrm>
              <a:off x="9656174" y="4478924"/>
              <a:ext cx="1332000" cy="252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pt-BR" sz="1100" b="1" baseline="0">
                  <a:solidFill>
                    <a:srgbClr val="FF0000"/>
                  </a:solidFill>
                </a:rPr>
                <a:t>Largura Borda</a:t>
              </a:r>
              <a:endParaRPr lang="pt-BR" sz="1100" b="1">
                <a:solidFill>
                  <a:srgbClr val="FF0000"/>
                </a:solidFill>
              </a:endParaRPr>
            </a:p>
          </xdr:txBody>
        </xdr:sp>
        <xdr:sp macro="" textlink="$U$6">
          <xdr:nvSpPr>
            <xdr:cNvPr id="26" name="CaixaDeTexto 25">
              <a:extLst>
                <a:ext uri="{FF2B5EF4-FFF2-40B4-BE49-F238E27FC236}">
                  <a16:creationId xmlns:a16="http://schemas.microsoft.com/office/drawing/2014/main" id="{81E07B02-4D7F-FA0F-F10D-91E6DCF61596}"/>
                </a:ext>
              </a:extLst>
            </xdr:cNvPr>
            <xdr:cNvSpPr txBox="1"/>
          </xdr:nvSpPr>
          <xdr:spPr>
            <a:xfrm>
              <a:off x="9656174" y="4221747"/>
              <a:ext cx="1332000" cy="252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fld id="{57320F9A-A707-4AAE-B187-748C816ADF6F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10,00</a:t>
              </a:fld>
              <a:endParaRPr lang="pt-BR" sz="12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509D75E2-A0CD-10E7-4F6E-49D3A0E55E89}"/>
              </a:ext>
            </a:extLst>
          </xdr:cNvPr>
          <xdr:cNvGrpSpPr/>
        </xdr:nvGrpSpPr>
        <xdr:grpSpPr>
          <a:xfrm rot="19745907">
            <a:off x="12258673" y="6419850"/>
            <a:ext cx="1152151" cy="499649"/>
            <a:chOff x="9315449" y="7953375"/>
            <a:chExt cx="1152151" cy="499649"/>
          </a:xfrm>
        </xdr:grpSpPr>
        <xdr:sp macro="" textlink="$U$9">
          <xdr:nvSpPr>
            <xdr:cNvPr id="23" name="CaixaDeTexto 22">
              <a:extLst>
                <a:ext uri="{FF2B5EF4-FFF2-40B4-BE49-F238E27FC236}">
                  <a16:creationId xmlns:a16="http://schemas.microsoft.com/office/drawing/2014/main" id="{DBC5066D-33F5-20DB-4E80-7023114B744E}"/>
                </a:ext>
              </a:extLst>
            </xdr:cNvPr>
            <xdr:cNvSpPr txBox="1"/>
          </xdr:nvSpPr>
          <xdr:spPr>
            <a:xfrm>
              <a:off x="9315449" y="7953375"/>
              <a:ext cx="1152000" cy="252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D3BFB34-4C8F-4524-87FB-6F5FE02CCD6F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5,00</a:t>
              </a:fld>
              <a:endParaRPr lang="pt-BR" sz="1200" b="1"/>
            </a:p>
          </xdr:txBody>
        </xdr:sp>
        <xdr:sp macro="" textlink="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59C6FE1A-913D-0E42-6C4F-0AE9C32D2B6A}"/>
                </a:ext>
              </a:extLst>
            </xdr:cNvPr>
            <xdr:cNvSpPr txBox="1"/>
          </xdr:nvSpPr>
          <xdr:spPr>
            <a:xfrm>
              <a:off x="9315600" y="8201024"/>
              <a:ext cx="1152000" cy="252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pt-BR" sz="1100" b="1">
                  <a:solidFill>
                    <a:srgbClr val="FF0000"/>
                  </a:solidFill>
                </a:rPr>
                <a:t>largura</a:t>
              </a:r>
              <a:r>
                <a:rPr lang="pt-BR" sz="1100" b="1" baseline="0">
                  <a:solidFill>
                    <a:srgbClr val="FF0000"/>
                  </a:solidFill>
                </a:rPr>
                <a:t> do fundo</a:t>
              </a:r>
              <a:endParaRPr lang="pt-BR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B30B28BD-3B14-6BA5-80B2-91A3951D7923}"/>
              </a:ext>
            </a:extLst>
          </xdr:cNvPr>
          <xdr:cNvGrpSpPr/>
        </xdr:nvGrpSpPr>
        <xdr:grpSpPr>
          <a:xfrm rot="688828">
            <a:off x="15960322" y="6388761"/>
            <a:ext cx="1509684" cy="499644"/>
            <a:chOff x="8362950" y="8953503"/>
            <a:chExt cx="1509684" cy="499644"/>
          </a:xfrm>
        </xdr:grpSpPr>
        <xdr:sp macro="" textlink="$U$8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3A242D99-5D5F-9BCF-85EF-2DBF9F005D85}"/>
                </a:ext>
              </a:extLst>
            </xdr:cNvPr>
            <xdr:cNvSpPr txBox="1"/>
          </xdr:nvSpPr>
          <xdr:spPr>
            <a:xfrm>
              <a:off x="8362950" y="8953503"/>
              <a:ext cx="1509540" cy="252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E70A47D6-3EA8-4856-B5A0-A779950F0B83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25,00</a:t>
              </a:fld>
              <a:endParaRPr lang="pt-BR" sz="1200" b="1"/>
            </a:p>
          </xdr:txBody>
        </xdr:sp>
        <xdr:sp macro="" textlink="">
          <xdr:nvSpPr>
            <xdr:cNvPr id="22" name="CaixaDeTexto 21">
              <a:extLst>
                <a:ext uri="{FF2B5EF4-FFF2-40B4-BE49-F238E27FC236}">
                  <a16:creationId xmlns:a16="http://schemas.microsoft.com/office/drawing/2014/main" id="{EFE7A89E-972A-671B-2052-0FC5B582B8B9}"/>
                </a:ext>
              </a:extLst>
            </xdr:cNvPr>
            <xdr:cNvSpPr txBox="1"/>
          </xdr:nvSpPr>
          <xdr:spPr>
            <a:xfrm>
              <a:off x="8363093" y="9201147"/>
              <a:ext cx="1509541" cy="252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pt-BR" sz="1100" b="1" baseline="0">
                  <a:solidFill>
                    <a:srgbClr val="FF0000"/>
                  </a:solidFill>
                </a:rPr>
                <a:t>Comprimento do fundo</a:t>
              </a:r>
              <a:endParaRPr lang="pt-BR" sz="1100" b="1">
                <a:solidFill>
                  <a:srgbClr val="FF0000"/>
                </a:solidFill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F7589A81-9919-2F49-CC18-D7DDA3B69EB6}"/>
              </a:ext>
            </a:extLst>
          </xdr:cNvPr>
          <xdr:cNvGrpSpPr/>
        </xdr:nvGrpSpPr>
        <xdr:grpSpPr>
          <a:xfrm>
            <a:off x="13973176" y="7153275"/>
            <a:ext cx="1000126" cy="499649"/>
            <a:chOff x="9315449" y="7953375"/>
            <a:chExt cx="1152151" cy="499649"/>
          </a:xfrm>
        </xdr:grpSpPr>
        <xdr:sp macro="" textlink="$U$7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0EEBBF93-861A-586D-C1A5-6D749B95A5EC}"/>
                </a:ext>
              </a:extLst>
            </xdr:cNvPr>
            <xdr:cNvSpPr txBox="1"/>
          </xdr:nvSpPr>
          <xdr:spPr>
            <a:xfrm>
              <a:off x="9315449" y="7953375"/>
              <a:ext cx="1152000" cy="252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7CCED296-FB63-4E44-A65C-04983E987699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5,00</a:t>
              </a:fld>
              <a:endParaRPr lang="pt-BR" sz="1200" b="1" i="0"/>
            </a:p>
          </xdr:txBody>
        </xdr:sp>
        <xdr:sp macro="" textlink="">
          <xdr:nvSpPr>
            <xdr:cNvPr id="20" name="CaixaDeTexto 19">
              <a:extLst>
                <a:ext uri="{FF2B5EF4-FFF2-40B4-BE49-F238E27FC236}">
                  <a16:creationId xmlns:a16="http://schemas.microsoft.com/office/drawing/2014/main" id="{813BCCA5-F608-CCD5-1600-BA13434A6F6C}"/>
                </a:ext>
              </a:extLst>
            </xdr:cNvPr>
            <xdr:cNvSpPr txBox="1"/>
          </xdr:nvSpPr>
          <xdr:spPr>
            <a:xfrm>
              <a:off x="9315600" y="8201024"/>
              <a:ext cx="1152000" cy="252000"/>
            </a:xfrm>
            <a:prstGeom prst="rect">
              <a:avLst/>
            </a:prstGeom>
            <a:noFill/>
            <a:ln w="190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pt-BR" sz="1100" b="1">
                  <a:solidFill>
                    <a:srgbClr val="FF0000"/>
                  </a:solidFill>
                </a:rPr>
                <a:t>Profundidade</a:t>
              </a:r>
            </a:p>
          </xdr:txBody>
        </xdr:sp>
      </xdr:grpSp>
    </xdr:grpSp>
    <xdr:clientData/>
  </xdr:twoCellAnchor>
  <xdr:twoCellAnchor editAs="oneCell">
    <xdr:from>
      <xdr:col>0</xdr:col>
      <xdr:colOff>253998</xdr:colOff>
      <xdr:row>0</xdr:row>
      <xdr:rowOff>148164</xdr:rowOff>
    </xdr:from>
    <xdr:to>
      <xdr:col>3</xdr:col>
      <xdr:colOff>104498</xdr:colOff>
      <xdr:row>5</xdr:row>
      <xdr:rowOff>126844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12226307-4A39-4F91-A7A2-B8668AD80F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717" t="14603" r="12382" b="6760"/>
        <a:stretch/>
      </xdr:blipFill>
      <xdr:spPr>
        <a:xfrm>
          <a:off x="253998" y="148164"/>
          <a:ext cx="1679300" cy="961872"/>
        </a:xfrm>
        <a:prstGeom prst="rect">
          <a:avLst/>
        </a:prstGeom>
      </xdr:spPr>
    </xdr:pic>
    <xdr:clientData/>
  </xdr:twoCellAnchor>
  <xdr:twoCellAnchor editAs="oneCell">
    <xdr:from>
      <xdr:col>19</xdr:col>
      <xdr:colOff>730249</xdr:colOff>
      <xdr:row>14</xdr:row>
      <xdr:rowOff>63499</xdr:rowOff>
    </xdr:from>
    <xdr:to>
      <xdr:col>19</xdr:col>
      <xdr:colOff>4097565</xdr:colOff>
      <xdr:row>29</xdr:row>
      <xdr:rowOff>121070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3E183147-F900-A3B0-9186-7B141F323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93082" y="2804582"/>
          <a:ext cx="3367316" cy="2915071"/>
        </a:xfrm>
        <a:prstGeom prst="rect">
          <a:avLst/>
        </a:prstGeom>
      </xdr:spPr>
    </xdr:pic>
    <xdr:clientData/>
  </xdr:twoCellAnchor>
  <xdr:twoCellAnchor>
    <xdr:from>
      <xdr:col>4</xdr:col>
      <xdr:colOff>560917</xdr:colOff>
      <xdr:row>10</xdr:row>
      <xdr:rowOff>31749</xdr:rowOff>
    </xdr:from>
    <xdr:to>
      <xdr:col>6</xdr:col>
      <xdr:colOff>222450</xdr:colOff>
      <xdr:row>11</xdr:row>
      <xdr:rowOff>106250</xdr:rowOff>
    </xdr:to>
    <xdr:sp macro="" textlink="$U$10">
      <xdr:nvSpPr>
        <xdr:cNvPr id="47" name="CaixaDeTexto 46">
          <a:extLst>
            <a:ext uri="{FF2B5EF4-FFF2-40B4-BE49-F238E27FC236}">
              <a16:creationId xmlns:a16="http://schemas.microsoft.com/office/drawing/2014/main" id="{57BDB796-A43A-4B99-AE38-4DF31EFBA1CB}"/>
            </a:ext>
          </a:extLst>
        </xdr:cNvPr>
        <xdr:cNvSpPr txBox="1"/>
      </xdr:nvSpPr>
      <xdr:spPr>
        <a:xfrm rot="19476474">
          <a:off x="3016250" y="1989666"/>
          <a:ext cx="889200" cy="275584"/>
        </a:xfrm>
        <a:prstGeom prst="rect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908F932-E89D-4998-BDFB-BCF4FD91A98C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5,59</a:t>
          </a:fld>
          <a:endParaRPr lang="pt-BR" sz="1200" b="1"/>
        </a:p>
      </xdr:txBody>
    </xdr:sp>
    <xdr:clientData/>
  </xdr:twoCellAnchor>
  <xdr:twoCellAnchor>
    <xdr:from>
      <xdr:col>5</xdr:col>
      <xdr:colOff>157266</xdr:colOff>
      <xdr:row>11</xdr:row>
      <xdr:rowOff>28989</xdr:rowOff>
    </xdr:from>
    <xdr:to>
      <xdr:col>6</xdr:col>
      <xdr:colOff>432189</xdr:colOff>
      <xdr:row>13</xdr:row>
      <xdr:rowOff>105406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97F3A326-C77E-4196-B39C-9C512276B7A4}"/>
            </a:ext>
          </a:extLst>
        </xdr:cNvPr>
        <xdr:cNvSpPr txBox="1"/>
      </xdr:nvSpPr>
      <xdr:spPr>
        <a:xfrm rot="19476474">
          <a:off x="3226433" y="2187989"/>
          <a:ext cx="888756" cy="468000"/>
        </a:xfrm>
        <a:prstGeom prst="rect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 b="1">
              <a:solidFill>
                <a:srgbClr val="FF0000"/>
              </a:solidFill>
            </a:rPr>
            <a:t>Talude 67º</a:t>
          </a:r>
          <a:br>
            <a:rPr lang="pt-BR" sz="1100" b="1">
              <a:solidFill>
                <a:srgbClr val="FF0000"/>
              </a:solidFill>
            </a:rPr>
          </a:br>
          <a:r>
            <a:rPr lang="pt-BR" sz="1100" b="1">
              <a:solidFill>
                <a:srgbClr val="FF0000"/>
              </a:solidFill>
            </a:rPr>
            <a:t>/Rampa2:1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133349</xdr:colOff>
      <xdr:row>2</xdr:row>
      <xdr:rowOff>76199</xdr:rowOff>
    </xdr:from>
    <xdr:to>
      <xdr:col>20</xdr:col>
      <xdr:colOff>363307</xdr:colOff>
      <xdr:row>35</xdr:row>
      <xdr:rowOff>142874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13" t="13683" r="35075" b="21284"/>
        <a:stretch/>
      </xdr:blipFill>
      <xdr:spPr bwMode="auto">
        <a:xfrm>
          <a:off x="133349" y="457199"/>
          <a:ext cx="9881958" cy="635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371475</xdr:colOff>
      <xdr:row>6</xdr:row>
      <xdr:rowOff>161925</xdr:rowOff>
    </xdr:from>
    <xdr:to>
      <xdr:col>8</xdr:col>
      <xdr:colOff>542925</xdr:colOff>
      <xdr:row>8</xdr:row>
      <xdr:rowOff>19050</xdr:rowOff>
    </xdr:to>
    <xdr:sp macro="" textlink="Plan1!H2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638675" y="1304925"/>
          <a:ext cx="7810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4FAE017-1041-4CAF-A028-21AA8F4B1F22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60</a:t>
          </a:fld>
          <a:endParaRPr lang="pt-BR" sz="1100"/>
        </a:p>
      </xdr:txBody>
    </xdr:sp>
    <xdr:clientData/>
  </xdr:twoCellAnchor>
  <xdr:twoCellAnchor>
    <xdr:from>
      <xdr:col>9</xdr:col>
      <xdr:colOff>47625</xdr:colOff>
      <xdr:row>16</xdr:row>
      <xdr:rowOff>180975</xdr:rowOff>
    </xdr:from>
    <xdr:to>
      <xdr:col>10</xdr:col>
      <xdr:colOff>219075</xdr:colOff>
      <xdr:row>18</xdr:row>
      <xdr:rowOff>38100</xdr:rowOff>
    </xdr:to>
    <xdr:sp macro="" textlink="Plan1!K2">
      <xdr:nvSpPr>
        <xdr:cNvPr id="5" name="CaixaDe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534025" y="3228975"/>
          <a:ext cx="7810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97E22E3-CA7C-4D7E-99BC-2041E60DBA32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55</a:t>
          </a:fld>
          <a:endParaRPr lang="pt-BR" sz="1100"/>
        </a:p>
      </xdr:txBody>
    </xdr:sp>
    <xdr:clientData/>
  </xdr:twoCellAnchor>
  <xdr:twoCellAnchor>
    <xdr:from>
      <xdr:col>11</xdr:col>
      <xdr:colOff>28575</xdr:colOff>
      <xdr:row>16</xdr:row>
      <xdr:rowOff>19050</xdr:rowOff>
    </xdr:from>
    <xdr:to>
      <xdr:col>12</xdr:col>
      <xdr:colOff>200025</xdr:colOff>
      <xdr:row>17</xdr:row>
      <xdr:rowOff>66675</xdr:rowOff>
    </xdr:to>
    <xdr:sp macro="" textlink="Plan1!H3">
      <xdr:nvSpPr>
        <xdr:cNvPr id="6" name="CaixaDe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734175" y="3067050"/>
          <a:ext cx="7810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4DA8400-DB5C-4061-BDBC-0BD707470174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50</a:t>
          </a:fld>
          <a:endParaRPr lang="pt-BR" sz="1100"/>
        </a:p>
      </xdr:txBody>
    </xdr:sp>
    <xdr:clientData/>
  </xdr:twoCellAnchor>
  <xdr:twoCellAnchor>
    <xdr:from>
      <xdr:col>13</xdr:col>
      <xdr:colOff>504825</xdr:colOff>
      <xdr:row>13</xdr:row>
      <xdr:rowOff>76200</xdr:rowOff>
    </xdr:from>
    <xdr:to>
      <xdr:col>15</xdr:col>
      <xdr:colOff>66675</xdr:colOff>
      <xdr:row>14</xdr:row>
      <xdr:rowOff>123825</xdr:rowOff>
    </xdr:to>
    <xdr:sp macro="" textlink="Plan1!K3">
      <xdr:nvSpPr>
        <xdr:cNvPr id="7" name="CaixaDe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8429625" y="2552700"/>
          <a:ext cx="7810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262C0BE-BABC-484C-A4FF-9BA71BFA8B14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45</a:t>
          </a:fld>
          <a:endParaRPr lang="pt-BR" sz="1100"/>
        </a:p>
      </xdr:txBody>
    </xdr:sp>
    <xdr:clientData/>
  </xdr:twoCellAnchor>
  <xdr:twoCellAnchor>
    <xdr:from>
      <xdr:col>17</xdr:col>
      <xdr:colOff>552450</xdr:colOff>
      <xdr:row>27</xdr:row>
      <xdr:rowOff>142875</xdr:rowOff>
    </xdr:from>
    <xdr:to>
      <xdr:col>19</xdr:col>
      <xdr:colOff>114300</xdr:colOff>
      <xdr:row>29</xdr:row>
      <xdr:rowOff>0</xdr:rowOff>
    </xdr:to>
    <xdr:sp macro="" textlink="Plan1!H4">
      <xdr:nvSpPr>
        <xdr:cNvPr id="8" name="CaixaDeText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10915650" y="5286375"/>
          <a:ext cx="7810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E48BB6B-6B3B-4180-9DEF-D34F3884DFED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5</a:t>
          </a:fld>
          <a:endParaRPr lang="pt-BR" sz="1100"/>
        </a:p>
      </xdr:txBody>
    </xdr:sp>
    <xdr:clientData/>
  </xdr:twoCellAnchor>
  <xdr:twoCellAnchor>
    <xdr:from>
      <xdr:col>15</xdr:col>
      <xdr:colOff>485775</xdr:colOff>
      <xdr:row>32</xdr:row>
      <xdr:rowOff>123825</xdr:rowOff>
    </xdr:from>
    <xdr:to>
      <xdr:col>17</xdr:col>
      <xdr:colOff>47625</xdr:colOff>
      <xdr:row>33</xdr:row>
      <xdr:rowOff>171450</xdr:rowOff>
    </xdr:to>
    <xdr:sp macro="" textlink="Plan1!N8">
      <xdr:nvSpPr>
        <xdr:cNvPr id="9" name="CaixaDeText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9629775" y="6219825"/>
          <a:ext cx="78105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8166757-4222-4030-94D5-3249DF5669CE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7,071</a:t>
          </a:fld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-1</xdr:colOff>
      <xdr:row>6</xdr:row>
      <xdr:rowOff>0</xdr:rowOff>
    </xdr:from>
    <xdr:to>
      <xdr:col>27</xdr:col>
      <xdr:colOff>204107</xdr:colOff>
      <xdr:row>53</xdr:row>
      <xdr:rowOff>53070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438399" y="1110343"/>
          <a:ext cx="14224908" cy="8750756"/>
          <a:chOff x="9999156" y="3471182"/>
          <a:chExt cx="9003454" cy="9006570"/>
        </a:xfrm>
      </xdr:grpSpPr>
      <xdr:sp macro="" textlink="">
        <xdr:nvSpPr>
          <xdr:cNvPr id="3" name="Retângulo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0002610" y="3471182"/>
            <a:ext cx="9000000" cy="9000000"/>
          </a:xfrm>
          <a:prstGeom prst="rect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endParaRPr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152539" y="5634718"/>
            <a:ext cx="4680000" cy="4680000"/>
          </a:xfrm>
          <a:prstGeom prst="rect">
            <a:avLst/>
          </a:prstGeom>
          <a:noFill/>
          <a:ln w="381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endParaRPr>
          </a:p>
        </xdr:txBody>
      </xdr: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 flipH="1" flipV="1">
            <a:off x="9999156" y="3471915"/>
            <a:ext cx="2157258" cy="2159348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CxnSpPr/>
        </xdr:nvCxnSpPr>
        <xdr:spPr>
          <a:xfrm flipV="1">
            <a:off x="16832036" y="3479241"/>
            <a:ext cx="2169816" cy="2154116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Conector reto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CxnSpPr/>
        </xdr:nvCxnSpPr>
        <xdr:spPr>
          <a:xfrm flipV="1">
            <a:off x="10001250" y="10306887"/>
            <a:ext cx="2155163" cy="2170865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CxnSpPr/>
        </xdr:nvCxnSpPr>
        <xdr:spPr>
          <a:xfrm>
            <a:off x="16838316" y="10306887"/>
            <a:ext cx="2163536" cy="2154115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workbookViewId="0">
      <selection activeCell="J10" sqref="J10"/>
    </sheetView>
  </sheetViews>
  <sheetFormatPr defaultRowHeight="14.4" x14ac:dyDescent="0.3"/>
  <cols>
    <col min="5" max="5" width="10.5546875" bestFit="1" customWidth="1"/>
    <col min="6" max="6" width="14.33203125" bestFit="1" customWidth="1"/>
    <col min="11" max="11" width="12" bestFit="1" customWidth="1"/>
    <col min="13" max="13" width="10.109375" bestFit="1" customWidth="1"/>
    <col min="14" max="14" width="9.5546875" bestFit="1" customWidth="1"/>
  </cols>
  <sheetData>
    <row r="1" spans="1:15" x14ac:dyDescent="0.3">
      <c r="A1">
        <f>(A4-A5)/2</f>
        <v>5</v>
      </c>
      <c r="B1">
        <f>(B4-B5)/2</f>
        <v>5</v>
      </c>
      <c r="G1" s="1" t="s">
        <v>0</v>
      </c>
      <c r="H1" s="1" t="s">
        <v>1</v>
      </c>
      <c r="J1" s="1" t="s">
        <v>0</v>
      </c>
      <c r="K1" s="1" t="s">
        <v>1</v>
      </c>
      <c r="M1" s="1" t="s">
        <v>7</v>
      </c>
      <c r="N1" s="1" t="s">
        <v>1</v>
      </c>
    </row>
    <row r="2" spans="1:15" x14ac:dyDescent="0.3">
      <c r="G2" s="2" t="s">
        <v>2</v>
      </c>
      <c r="H2" s="2">
        <v>60</v>
      </c>
      <c r="J2" s="2" t="s">
        <v>5</v>
      </c>
      <c r="K2" s="2">
        <v>55</v>
      </c>
      <c r="M2" s="2" t="s">
        <v>8</v>
      </c>
      <c r="N2" s="2">
        <f>(H2+H3)/2</f>
        <v>55</v>
      </c>
    </row>
    <row r="3" spans="1:15" x14ac:dyDescent="0.3">
      <c r="G3" s="2" t="s">
        <v>3</v>
      </c>
      <c r="H3" s="2">
        <f>H2-(H4*2)</f>
        <v>50</v>
      </c>
      <c r="J3" s="2" t="s">
        <v>6</v>
      </c>
      <c r="K3" s="2">
        <f>K2-(K4*2)</f>
        <v>45</v>
      </c>
      <c r="M3" s="2" t="s">
        <v>9</v>
      </c>
      <c r="N3" s="2">
        <f>(K2+K3)/2</f>
        <v>50</v>
      </c>
    </row>
    <row r="4" spans="1:15" x14ac:dyDescent="0.3">
      <c r="A4">
        <v>70</v>
      </c>
      <c r="B4">
        <v>20</v>
      </c>
      <c r="G4" s="2" t="s">
        <v>4</v>
      </c>
      <c r="H4" s="2">
        <v>5</v>
      </c>
      <c r="J4" s="2" t="s">
        <v>4</v>
      </c>
      <c r="K4" s="2">
        <f>H4</f>
        <v>5</v>
      </c>
      <c r="M4" s="2" t="s">
        <v>4</v>
      </c>
      <c r="N4" s="2">
        <f>H4</f>
        <v>5</v>
      </c>
    </row>
    <row r="5" spans="1:15" x14ac:dyDescent="0.3">
      <c r="A5">
        <v>60</v>
      </c>
      <c r="B5">
        <v>10</v>
      </c>
      <c r="C5">
        <v>5</v>
      </c>
    </row>
    <row r="6" spans="1:15" x14ac:dyDescent="0.3">
      <c r="A6">
        <f>(A5+A4)/2</f>
        <v>65</v>
      </c>
      <c r="B6">
        <f>(B5+B4)/2</f>
        <v>15</v>
      </c>
      <c r="C6">
        <f>(A6*B6)*C5</f>
        <v>4875</v>
      </c>
      <c r="H6">
        <f>((H2+H3)*N8)/2</f>
        <v>388.90872965260115</v>
      </c>
      <c r="K6">
        <f>((K2+K3)*N8)/2</f>
        <v>353.55339059327378</v>
      </c>
      <c r="M6" s="2" t="s">
        <v>12</v>
      </c>
      <c r="N6" s="2" t="s">
        <v>11</v>
      </c>
    </row>
    <row r="7" spans="1:15" x14ac:dyDescent="0.3">
      <c r="M7" s="1" t="s">
        <v>10</v>
      </c>
      <c r="N7" s="2">
        <f>(N2*N3)*N4</f>
        <v>13750</v>
      </c>
      <c r="O7">
        <v>6166.67</v>
      </c>
    </row>
    <row r="8" spans="1:15" x14ac:dyDescent="0.3">
      <c r="E8" s="8">
        <f>(H4/6)*((2*H2+H3)*K2+(2*H3+H2)*K3)</f>
        <v>13791.666666666668</v>
      </c>
      <c r="F8" s="7" t="s">
        <v>14</v>
      </c>
      <c r="J8">
        <f>(H6*2)+(K6*2)</f>
        <v>1484.92424049175</v>
      </c>
      <c r="M8" s="3" t="s">
        <v>13</v>
      </c>
      <c r="N8" s="4">
        <f>SQRT(H4^2+K4^2)</f>
        <v>7.0710678118654755</v>
      </c>
    </row>
    <row r="9" spans="1:15" x14ac:dyDescent="0.3">
      <c r="E9" s="9">
        <f>E8/10</f>
        <v>1379.1666666666667</v>
      </c>
      <c r="H9" s="3"/>
      <c r="I9" s="3"/>
      <c r="J9" s="3">
        <f>H3*K3</f>
        <v>2250</v>
      </c>
      <c r="K9" s="3"/>
      <c r="L9" s="3"/>
    </row>
    <row r="10" spans="1:15" x14ac:dyDescent="0.3">
      <c r="E10" s="9"/>
      <c r="F10" s="9">
        <f>E8*1000</f>
        <v>13791666.666666668</v>
      </c>
      <c r="H10" s="3"/>
      <c r="I10" s="3">
        <f>((H2*2)+(K2*2))</f>
        <v>230</v>
      </c>
      <c r="J10" s="3">
        <f>SUM(J8:J9)</f>
        <v>3734.92424049175</v>
      </c>
      <c r="K10" s="10">
        <f>J10+I10</f>
        <v>3964.92424049175</v>
      </c>
      <c r="L10" s="11" t="s">
        <v>1</v>
      </c>
    </row>
    <row r="11" spans="1:15" x14ac:dyDescent="0.3">
      <c r="H11" s="3"/>
      <c r="I11" s="3"/>
      <c r="J11" s="3"/>
      <c r="K11" s="11" t="s">
        <v>15</v>
      </c>
      <c r="L11" s="11"/>
    </row>
    <row r="12" spans="1:15" x14ac:dyDescent="0.3">
      <c r="N12">
        <f>N7*1.022</f>
        <v>14052.5</v>
      </c>
    </row>
    <row r="15" spans="1:15" x14ac:dyDescent="0.3">
      <c r="N15">
        <f>(N2*N3)*N4</f>
        <v>13750</v>
      </c>
    </row>
  </sheetData>
  <pageMargins left="0.511811024" right="0.511811024" top="0.78740157499999996" bottom="0.78740157499999996" header="0.31496062000000002" footer="0.31496062000000002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J65"/>
  <sheetViews>
    <sheetView showGridLines="0" tabSelected="1" view="pageBreakPreview" zoomScale="120" zoomScaleNormal="110" zoomScaleSheetLayoutView="120" workbookViewId="0">
      <selection activeCell="D39" sqref="D39"/>
    </sheetView>
  </sheetViews>
  <sheetFormatPr defaultRowHeight="14.4" outlineLevelRow="1" x14ac:dyDescent="0.3"/>
  <cols>
    <col min="1" max="1" width="2.33203125" customWidth="1"/>
    <col min="2" max="2" width="3.44140625" customWidth="1"/>
    <col min="3" max="3" width="77.33203125" bestFit="1" customWidth="1"/>
    <col min="4" max="4" width="15.109375" style="3" bestFit="1" customWidth="1"/>
    <col min="5" max="5" width="14.88671875" bestFit="1" customWidth="1"/>
    <col min="6" max="6" width="3.33203125" customWidth="1"/>
    <col min="7" max="7" width="5.109375" customWidth="1"/>
    <col min="8" max="8" width="14.33203125" bestFit="1" customWidth="1"/>
    <col min="9" max="9" width="13.33203125" bestFit="1" customWidth="1"/>
  </cols>
  <sheetData>
    <row r="1" spans="2:10" ht="15" thickBot="1" x14ac:dyDescent="0.35">
      <c r="B1" s="62"/>
      <c r="C1" s="63"/>
      <c r="D1" s="64"/>
      <c r="E1" s="63"/>
      <c r="F1" s="54"/>
    </row>
    <row r="2" spans="2:10" ht="15" thickBot="1" x14ac:dyDescent="0.35">
      <c r="B2" s="65"/>
      <c r="C2" s="130" t="s">
        <v>80</v>
      </c>
      <c r="F2" s="66"/>
    </row>
    <row r="3" spans="2:10" ht="15" thickBot="1" x14ac:dyDescent="0.35">
      <c r="B3" s="65"/>
      <c r="C3" s="130" t="s">
        <v>81</v>
      </c>
      <c r="F3" s="66"/>
    </row>
    <row r="4" spans="2:10" ht="15" thickBot="1" x14ac:dyDescent="0.35">
      <c r="B4" s="65"/>
      <c r="C4" s="130" t="s">
        <v>82</v>
      </c>
      <c r="F4" s="66"/>
    </row>
    <row r="5" spans="2:10" x14ac:dyDescent="0.3">
      <c r="B5" s="65"/>
      <c r="C5" s="131"/>
      <c r="F5" s="66"/>
    </row>
    <row r="6" spans="2:10" x14ac:dyDescent="0.3">
      <c r="B6" s="65"/>
      <c r="C6" s="129" t="s">
        <v>77</v>
      </c>
      <c r="F6" s="66"/>
    </row>
    <row r="7" spans="2:10" ht="15" thickBot="1" x14ac:dyDescent="0.35">
      <c r="B7" s="67"/>
      <c r="C7" s="132"/>
      <c r="D7" s="69"/>
      <c r="E7" s="68"/>
      <c r="F7" s="70"/>
    </row>
    <row r="8" spans="2:10" ht="15" thickBot="1" x14ac:dyDescent="0.35"/>
    <row r="9" spans="2:10" ht="15" thickBot="1" x14ac:dyDescent="0.35">
      <c r="B9" s="62"/>
      <c r="C9" s="63"/>
      <c r="D9" s="64"/>
      <c r="E9" s="63"/>
      <c r="F9" s="54"/>
    </row>
    <row r="10" spans="2:10" ht="15" thickBot="1" x14ac:dyDescent="0.35">
      <c r="B10" s="65"/>
      <c r="C10" s="77" t="s">
        <v>32</v>
      </c>
      <c r="D10" s="84"/>
      <c r="E10" s="85"/>
      <c r="F10" s="66"/>
      <c r="J10" s="82"/>
    </row>
    <row r="11" spans="2:10" ht="15" thickBot="1" x14ac:dyDescent="0.35">
      <c r="B11" s="65"/>
      <c r="F11" s="66"/>
      <c r="J11" s="83"/>
    </row>
    <row r="12" spans="2:10" ht="15" thickBot="1" x14ac:dyDescent="0.35">
      <c r="B12" s="65"/>
      <c r="C12" s="13" t="s">
        <v>63</v>
      </c>
      <c r="D12" s="14"/>
      <c r="E12" s="15"/>
      <c r="F12" s="66"/>
      <c r="J12" s="86"/>
    </row>
    <row r="13" spans="2:10" outlineLevel="1" x14ac:dyDescent="0.3">
      <c r="B13" s="65"/>
      <c r="C13" s="16" t="s">
        <v>16</v>
      </c>
      <c r="D13" s="115">
        <v>180</v>
      </c>
      <c r="E13" s="17" t="s">
        <v>17</v>
      </c>
      <c r="F13" s="66"/>
    </row>
    <row r="14" spans="2:10" ht="15" outlineLevel="1" thickBot="1" x14ac:dyDescent="0.35">
      <c r="B14" s="65"/>
      <c r="C14" s="20" t="s">
        <v>19</v>
      </c>
      <c r="D14" s="116">
        <v>21</v>
      </c>
      <c r="E14" s="21" t="s">
        <v>20</v>
      </c>
      <c r="F14" s="66"/>
    </row>
    <row r="15" spans="2:10" ht="15" thickBot="1" x14ac:dyDescent="0.35">
      <c r="B15" s="65"/>
      <c r="C15" s="24" t="s">
        <v>24</v>
      </c>
      <c r="D15" s="87">
        <f>D13*D14</f>
        <v>3780</v>
      </c>
      <c r="E15" s="25" t="s">
        <v>30</v>
      </c>
      <c r="F15" s="66"/>
    </row>
    <row r="16" spans="2:10" ht="15" thickBot="1" x14ac:dyDescent="0.35">
      <c r="B16" s="65"/>
      <c r="D16" s="38"/>
      <c r="F16" s="66"/>
    </row>
    <row r="17" spans="2:6" ht="15" thickBot="1" x14ac:dyDescent="0.35">
      <c r="B17" s="65"/>
      <c r="C17" s="13" t="s">
        <v>64</v>
      </c>
      <c r="D17" s="39"/>
      <c r="E17" s="12"/>
      <c r="F17" s="66"/>
    </row>
    <row r="18" spans="2:6" outlineLevel="1" x14ac:dyDescent="0.3">
      <c r="B18" s="65"/>
      <c r="C18" s="16" t="s">
        <v>79</v>
      </c>
      <c r="D18" s="115">
        <v>150</v>
      </c>
      <c r="E18" s="17" t="s">
        <v>17</v>
      </c>
      <c r="F18" s="66"/>
    </row>
    <row r="19" spans="2:6" ht="15" outlineLevel="1" thickBot="1" x14ac:dyDescent="0.35">
      <c r="B19" s="65"/>
      <c r="C19" s="18" t="s">
        <v>21</v>
      </c>
      <c r="D19" s="117">
        <v>21</v>
      </c>
      <c r="E19" s="19" t="s">
        <v>20</v>
      </c>
      <c r="F19" s="66"/>
    </row>
    <row r="20" spans="2:6" ht="15" thickBot="1" x14ac:dyDescent="0.35">
      <c r="B20" s="65"/>
      <c r="C20" s="26" t="s">
        <v>25</v>
      </c>
      <c r="D20" s="88">
        <f>D18*D19</f>
        <v>3150</v>
      </c>
      <c r="E20" s="27" t="s">
        <v>30</v>
      </c>
      <c r="F20" s="66"/>
    </row>
    <row r="21" spans="2:6" ht="15" thickBot="1" x14ac:dyDescent="0.35">
      <c r="B21" s="65"/>
      <c r="D21" s="38"/>
      <c r="F21" s="66"/>
    </row>
    <row r="22" spans="2:6" ht="15" thickBot="1" x14ac:dyDescent="0.35">
      <c r="B22" s="65"/>
      <c r="C22" s="13" t="s">
        <v>65</v>
      </c>
      <c r="D22" s="39"/>
      <c r="E22" s="12"/>
      <c r="F22" s="66"/>
    </row>
    <row r="23" spans="2:6" ht="15" outlineLevel="1" thickBot="1" x14ac:dyDescent="0.35">
      <c r="B23" s="65"/>
      <c r="C23" s="24" t="s">
        <v>24</v>
      </c>
      <c r="D23" s="87">
        <f>D15</f>
        <v>3780</v>
      </c>
      <c r="E23" s="25" t="s">
        <v>30</v>
      </c>
      <c r="F23" s="66"/>
    </row>
    <row r="24" spans="2:6" ht="15" outlineLevel="1" thickBot="1" x14ac:dyDescent="0.35">
      <c r="B24" s="65"/>
      <c r="C24" s="26" t="s">
        <v>25</v>
      </c>
      <c r="D24" s="88">
        <f>D20</f>
        <v>3150</v>
      </c>
      <c r="E24" s="27" t="s">
        <v>30</v>
      </c>
      <c r="F24" s="66"/>
    </row>
    <row r="25" spans="2:6" ht="15" thickBot="1" x14ac:dyDescent="0.35">
      <c r="B25" s="65"/>
      <c r="C25" s="22" t="s">
        <v>27</v>
      </c>
      <c r="D25" s="89">
        <f>D23-D24</f>
        <v>630</v>
      </c>
      <c r="E25" s="23" t="s">
        <v>30</v>
      </c>
      <c r="F25" s="66"/>
    </row>
    <row r="26" spans="2:6" ht="15" thickBot="1" x14ac:dyDescent="0.35">
      <c r="B26" s="65"/>
      <c r="D26" s="38"/>
      <c r="F26" s="66"/>
    </row>
    <row r="27" spans="2:6" ht="15" thickBot="1" x14ac:dyDescent="0.35">
      <c r="B27" s="65"/>
      <c r="C27" s="57" t="s">
        <v>66</v>
      </c>
      <c r="D27" s="53"/>
      <c r="E27" s="54"/>
      <c r="F27" s="66"/>
    </row>
    <row r="28" spans="2:6" x14ac:dyDescent="0.3">
      <c r="B28" s="65"/>
      <c r="C28" s="59" t="s">
        <v>43</v>
      </c>
      <c r="D28" s="134">
        <v>90</v>
      </c>
      <c r="E28" s="60" t="s">
        <v>44</v>
      </c>
      <c r="F28" s="66"/>
    </row>
    <row r="29" spans="2:6" ht="15" outlineLevel="1" thickBot="1" x14ac:dyDescent="0.35">
      <c r="B29" s="65"/>
      <c r="C29" s="58" t="s">
        <v>46</v>
      </c>
      <c r="D29" s="90">
        <f>D15*D28</f>
        <v>340200</v>
      </c>
      <c r="E29" s="56" t="s">
        <v>31</v>
      </c>
      <c r="F29" s="66"/>
    </row>
    <row r="30" spans="2:6" ht="15" outlineLevel="1" thickBot="1" x14ac:dyDescent="0.35">
      <c r="B30" s="65"/>
      <c r="C30" s="26" t="s">
        <v>45</v>
      </c>
      <c r="D30" s="88">
        <f>D20*D28</f>
        <v>283500</v>
      </c>
      <c r="E30" s="27" t="s">
        <v>31</v>
      </c>
      <c r="F30" s="66"/>
    </row>
    <row r="31" spans="2:6" ht="15" thickBot="1" x14ac:dyDescent="0.35">
      <c r="B31" s="65"/>
      <c r="C31" s="22" t="s">
        <v>47</v>
      </c>
      <c r="D31" s="89">
        <f>D29-D30</f>
        <v>56700</v>
      </c>
      <c r="E31" s="23" t="s">
        <v>29</v>
      </c>
      <c r="F31" s="66"/>
    </row>
    <row r="32" spans="2:6" ht="15" thickBot="1" x14ac:dyDescent="0.35">
      <c r="B32" s="65"/>
      <c r="C32" s="22" t="s">
        <v>48</v>
      </c>
      <c r="D32" s="91">
        <f>D31*1000</f>
        <v>56700000</v>
      </c>
      <c r="E32" s="23" t="s">
        <v>28</v>
      </c>
      <c r="F32" s="66"/>
    </row>
    <row r="33" spans="2:9" ht="15" thickBot="1" x14ac:dyDescent="0.35">
      <c r="B33" s="67"/>
      <c r="C33" s="68"/>
      <c r="D33" s="69"/>
      <c r="E33" s="68"/>
      <c r="F33" s="70"/>
    </row>
    <row r="34" spans="2:9" ht="15" thickBot="1" x14ac:dyDescent="0.35"/>
    <row r="35" spans="2:9" ht="15" thickBot="1" x14ac:dyDescent="0.35">
      <c r="B35" s="62"/>
      <c r="C35" s="63"/>
      <c r="D35" s="64"/>
      <c r="E35" s="63"/>
      <c r="F35" s="54"/>
    </row>
    <row r="36" spans="2:9" ht="15" thickBot="1" x14ac:dyDescent="0.35">
      <c r="B36" s="65"/>
      <c r="C36" s="13" t="s">
        <v>67</v>
      </c>
      <c r="D36" s="14"/>
      <c r="E36" s="15"/>
      <c r="F36" s="66"/>
      <c r="I36" s="73"/>
    </row>
    <row r="37" spans="2:9" x14ac:dyDescent="0.3">
      <c r="B37" s="65"/>
      <c r="C37" s="71" t="s">
        <v>54</v>
      </c>
      <c r="D37" s="118">
        <v>120</v>
      </c>
      <c r="E37" s="102" t="s">
        <v>1</v>
      </c>
      <c r="F37" s="66"/>
    </row>
    <row r="38" spans="2:9" x14ac:dyDescent="0.3">
      <c r="B38" s="65"/>
      <c r="C38" s="20" t="s">
        <v>52</v>
      </c>
      <c r="D38" s="119">
        <v>100</v>
      </c>
      <c r="E38" s="103" t="s">
        <v>1</v>
      </c>
      <c r="F38" s="66"/>
      <c r="I38" s="9"/>
    </row>
    <row r="39" spans="2:9" ht="15" thickBot="1" x14ac:dyDescent="0.35">
      <c r="B39" s="65"/>
      <c r="C39" s="20" t="s">
        <v>53</v>
      </c>
      <c r="D39" s="116">
        <v>5.5</v>
      </c>
      <c r="E39" s="104" t="s">
        <v>1</v>
      </c>
      <c r="F39" s="66"/>
    </row>
    <row r="40" spans="2:9" outlineLevel="1" x14ac:dyDescent="0.3">
      <c r="B40" s="65"/>
      <c r="C40" s="71" t="s">
        <v>56</v>
      </c>
      <c r="D40" s="92">
        <f>D37-(D39*2)</f>
        <v>109</v>
      </c>
      <c r="E40" s="102" t="s">
        <v>1</v>
      </c>
      <c r="F40" s="66"/>
    </row>
    <row r="41" spans="2:9" outlineLevel="1" x14ac:dyDescent="0.3">
      <c r="B41" s="65"/>
      <c r="C41" s="100" t="s">
        <v>55</v>
      </c>
      <c r="D41" s="97">
        <f>D38-(D39*2)</f>
        <v>89</v>
      </c>
      <c r="E41" s="103" t="s">
        <v>1</v>
      </c>
      <c r="F41" s="66"/>
    </row>
    <row r="42" spans="2:9" ht="15" outlineLevel="1" thickBot="1" x14ac:dyDescent="0.35">
      <c r="B42" s="65"/>
      <c r="C42" s="18" t="s">
        <v>62</v>
      </c>
      <c r="D42" s="101">
        <f>SQRT(D39^2+D39^2)</f>
        <v>7.7781745930520225</v>
      </c>
      <c r="E42" s="105" t="s">
        <v>1</v>
      </c>
      <c r="F42" s="66"/>
    </row>
    <row r="43" spans="2:9" ht="15" thickBot="1" x14ac:dyDescent="0.35">
      <c r="B43" s="65"/>
      <c r="C43" s="99" t="s">
        <v>57</v>
      </c>
      <c r="D43" s="96">
        <f>(D39/6)*((2*D37+D40)*D38+(2*D40+D37)*D41)</f>
        <v>59566.833333333328</v>
      </c>
      <c r="E43" s="106" t="s">
        <v>29</v>
      </c>
      <c r="F43" s="66"/>
    </row>
    <row r="44" spans="2:9" ht="15" thickBot="1" x14ac:dyDescent="0.35">
      <c r="B44" s="65"/>
      <c r="C44" s="72" t="s">
        <v>57</v>
      </c>
      <c r="D44" s="93">
        <f>D43*1000</f>
        <v>59566833.333333328</v>
      </c>
      <c r="E44" s="107" t="s">
        <v>58</v>
      </c>
      <c r="F44" s="66"/>
    </row>
    <row r="45" spans="2:9" ht="15" thickBot="1" x14ac:dyDescent="0.35">
      <c r="B45" s="65"/>
      <c r="F45" s="66"/>
    </row>
    <row r="46" spans="2:9" ht="15" thickBot="1" x14ac:dyDescent="0.35">
      <c r="B46" s="65"/>
      <c r="C46" s="98" t="s">
        <v>68</v>
      </c>
      <c r="D46" s="39"/>
      <c r="E46" s="12"/>
      <c r="F46" s="66"/>
    </row>
    <row r="47" spans="2:9" ht="15" thickBot="1" x14ac:dyDescent="0.35">
      <c r="B47" s="65"/>
      <c r="C47" s="26" t="s">
        <v>72</v>
      </c>
      <c r="D47" s="95">
        <v>2</v>
      </c>
      <c r="E47" s="27" t="s">
        <v>50</v>
      </c>
      <c r="F47" s="66"/>
    </row>
    <row r="48" spans="2:9" ht="15" thickBot="1" x14ac:dyDescent="0.35">
      <c r="B48" s="65"/>
      <c r="C48" s="26" t="s">
        <v>73</v>
      </c>
      <c r="D48" s="88">
        <f>D47*D28</f>
        <v>180</v>
      </c>
      <c r="E48" s="27" t="s">
        <v>51</v>
      </c>
      <c r="F48" s="66"/>
    </row>
    <row r="49" spans="2:8" ht="15" thickBot="1" x14ac:dyDescent="0.35">
      <c r="B49" s="65"/>
      <c r="C49" s="74" t="s">
        <v>59</v>
      </c>
      <c r="D49" s="94">
        <f>D50/1000</f>
        <v>2160</v>
      </c>
      <c r="E49" s="74" t="s">
        <v>38</v>
      </c>
      <c r="F49" s="66"/>
    </row>
    <row r="50" spans="2:8" ht="15" thickBot="1" x14ac:dyDescent="0.35">
      <c r="B50" s="65"/>
      <c r="C50" s="74" t="s">
        <v>59</v>
      </c>
      <c r="D50" s="94">
        <f>((D37*D38)*D48)</f>
        <v>2160000</v>
      </c>
      <c r="E50" s="74" t="s">
        <v>39</v>
      </c>
      <c r="F50" s="66"/>
    </row>
    <row r="51" spans="2:8" ht="15" thickBot="1" x14ac:dyDescent="0.35">
      <c r="B51" s="65"/>
      <c r="D51"/>
      <c r="F51" s="66"/>
    </row>
    <row r="52" spans="2:8" ht="15" thickBot="1" x14ac:dyDescent="0.35">
      <c r="B52" s="65"/>
      <c r="C52" s="98" t="s">
        <v>69</v>
      </c>
      <c r="D52" s="39"/>
      <c r="E52" s="12"/>
      <c r="F52" s="66"/>
    </row>
    <row r="53" spans="2:8" ht="15" thickBot="1" x14ac:dyDescent="0.35">
      <c r="B53" s="65"/>
      <c r="C53" s="28" t="s">
        <v>60</v>
      </c>
      <c r="D53" s="76">
        <f>D49+D43</f>
        <v>61726.833333333328</v>
      </c>
      <c r="E53" s="75" t="s">
        <v>29</v>
      </c>
      <c r="F53" s="66"/>
    </row>
    <row r="54" spans="2:8" ht="15" thickBot="1" x14ac:dyDescent="0.35">
      <c r="B54" s="65"/>
      <c r="C54" s="78" t="s">
        <v>61</v>
      </c>
      <c r="D54" s="79">
        <f>D50+D44</f>
        <v>61726833.333333328</v>
      </c>
      <c r="E54" s="80" t="s">
        <v>58</v>
      </c>
      <c r="F54" s="66"/>
    </row>
    <row r="55" spans="2:8" ht="15" thickBot="1" x14ac:dyDescent="0.35">
      <c r="B55" s="65"/>
      <c r="C55" s="112" t="str">
        <f>IF(D54&lt;D32,"AUMENTE O TAMANHO DO RESERVATORIO, VOLUME ABAIXO DO NECESSARIO","TAMANHO DO RESERVATORIO DENTRO DO CALCULADO")</f>
        <v>TAMANHO DO RESERVATORIO DENTRO DO CALCULADO</v>
      </c>
      <c r="D55" s="113" t="str">
        <f>IF(D54&lt;D32,"---","OK")</f>
        <v>OK</v>
      </c>
      <c r="E55" s="81"/>
      <c r="F55" s="66"/>
    </row>
    <row r="56" spans="2:8" ht="15" thickBot="1" x14ac:dyDescent="0.35">
      <c r="B56" s="67"/>
      <c r="C56" s="68"/>
      <c r="D56" s="68"/>
      <c r="E56" s="68"/>
      <c r="F56" s="70"/>
    </row>
    <row r="57" spans="2:8" ht="15" thickBot="1" x14ac:dyDescent="0.35"/>
    <row r="58" spans="2:8" ht="15" thickBot="1" x14ac:dyDescent="0.35">
      <c r="B58" s="62"/>
      <c r="C58" s="63"/>
      <c r="D58" s="64"/>
      <c r="E58" s="63"/>
      <c r="F58" s="54"/>
    </row>
    <row r="59" spans="2:8" ht="15" thickBot="1" x14ac:dyDescent="0.35">
      <c r="B59" s="65"/>
      <c r="C59" s="13" t="s">
        <v>70</v>
      </c>
      <c r="D59" s="14"/>
      <c r="E59" s="15"/>
      <c r="F59" s="66"/>
    </row>
    <row r="60" spans="2:8" ht="15" thickBot="1" x14ac:dyDescent="0.35">
      <c r="B60" s="65"/>
      <c r="C60" s="13" t="s">
        <v>74</v>
      </c>
      <c r="D60" s="108">
        <f>(H63+H64+H65)</f>
        <v>13392.276979895745</v>
      </c>
      <c r="E60" s="15" t="s">
        <v>11</v>
      </c>
      <c r="F60" s="66"/>
    </row>
    <row r="61" spans="2:8" ht="15" thickBot="1" x14ac:dyDescent="0.35">
      <c r="B61" s="65"/>
      <c r="C61" s="13" t="s">
        <v>75</v>
      </c>
      <c r="D61" s="120">
        <v>0.03</v>
      </c>
      <c r="E61" s="15" t="s">
        <v>71</v>
      </c>
      <c r="F61" s="66"/>
      <c r="H61" s="114">
        <f>((D37+D40)*D42)/2</f>
        <v>890.60099090445658</v>
      </c>
    </row>
    <row r="62" spans="2:8" ht="15" thickBot="1" x14ac:dyDescent="0.35">
      <c r="B62" s="65"/>
      <c r="C62" s="109" t="s">
        <v>76</v>
      </c>
      <c r="D62" s="110">
        <f>(D60+(D60*D61))</f>
        <v>13794.045289292617</v>
      </c>
      <c r="E62" s="111" t="s">
        <v>11</v>
      </c>
      <c r="F62" s="66"/>
      <c r="H62" s="114">
        <f>((D38+D41)*D42)/2</f>
        <v>735.03749904341612</v>
      </c>
    </row>
    <row r="63" spans="2:8" ht="15" thickBot="1" x14ac:dyDescent="0.35">
      <c r="B63" s="67"/>
      <c r="C63" s="68"/>
      <c r="D63" s="69"/>
      <c r="E63" s="68"/>
      <c r="F63" s="70"/>
      <c r="H63" s="114">
        <f>(H61*2)+(H62*2)</f>
        <v>3251.2769798957452</v>
      </c>
    </row>
    <row r="64" spans="2:8" x14ac:dyDescent="0.3">
      <c r="H64" s="114">
        <f>D40*D41</f>
        <v>9701</v>
      </c>
    </row>
    <row r="65" spans="8:8" x14ac:dyDescent="0.3">
      <c r="H65" s="114">
        <f>((D37*2)+(D38*2))</f>
        <v>440</v>
      </c>
    </row>
  </sheetData>
  <sheetProtection formatCells="0" formatColumns="0" formatRows="0" insertColumns="0" insertRows="0" sort="0" autoFilter="0" pivotTables="0"/>
  <conditionalFormatting sqref="C55:E55">
    <cfRule type="expression" dxfId="1" priority="1">
      <formula>$D$44&gt;$D$32</formula>
    </cfRule>
    <cfRule type="expression" dxfId="0" priority="2">
      <formula>IF($D$44&lt;$D$32,TRUE,FALSE)</formula>
    </cfRule>
  </conditionalFormatting>
  <pageMargins left="0.511811024" right="0.511811024" top="0.78740157499999996" bottom="0.78740157499999996" header="0.31496062000000002" footer="0.31496062000000002"/>
  <pageSetup paperSize="9" scale="75" orientation="portrait" r:id="rId1"/>
  <colBreaks count="1" manualBreakCount="1">
    <brk id="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0BD9-D912-49DB-94B6-677FA823F14D}">
  <dimension ref="A1:Q39"/>
  <sheetViews>
    <sheetView showGridLines="0" tabSelected="1" view="pageBreakPreview" zoomScale="90" zoomScaleNormal="100" zoomScaleSheetLayoutView="90" workbookViewId="0">
      <selection activeCell="D39" sqref="D39"/>
    </sheetView>
  </sheetViews>
  <sheetFormatPr defaultRowHeight="14.4" x14ac:dyDescent="0.3"/>
  <sheetData>
    <row r="1" spans="1:17" ht="15" thickTop="1" x14ac:dyDescent="0.3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3"/>
    </row>
    <row r="2" spans="1:17" x14ac:dyDescent="0.3">
      <c r="A2" s="124"/>
      <c r="Q2" s="125"/>
    </row>
    <row r="3" spans="1:17" x14ac:dyDescent="0.3">
      <c r="A3" s="124"/>
      <c r="Q3" s="125"/>
    </row>
    <row r="4" spans="1:17" x14ac:dyDescent="0.3">
      <c r="A4" s="124"/>
      <c r="Q4" s="125"/>
    </row>
    <row r="5" spans="1:17" x14ac:dyDescent="0.3">
      <c r="A5" s="124"/>
      <c r="Q5" s="125"/>
    </row>
    <row r="6" spans="1:17" x14ac:dyDescent="0.3">
      <c r="A6" s="124"/>
      <c r="Q6" s="125"/>
    </row>
    <row r="7" spans="1:17" x14ac:dyDescent="0.3">
      <c r="A7" s="124"/>
      <c r="Q7" s="125"/>
    </row>
    <row r="8" spans="1:17" x14ac:dyDescent="0.3">
      <c r="A8" s="124"/>
      <c r="Q8" s="125"/>
    </row>
    <row r="9" spans="1:17" x14ac:dyDescent="0.3">
      <c r="A9" s="124"/>
      <c r="Q9" s="125"/>
    </row>
    <row r="10" spans="1:17" x14ac:dyDescent="0.3">
      <c r="A10" s="124"/>
      <c r="Q10" s="125"/>
    </row>
    <row r="11" spans="1:17" x14ac:dyDescent="0.3">
      <c r="A11" s="124"/>
      <c r="Q11" s="125"/>
    </row>
    <row r="12" spans="1:17" x14ac:dyDescent="0.3">
      <c r="A12" s="124"/>
      <c r="Q12" s="125"/>
    </row>
    <row r="13" spans="1:17" x14ac:dyDescent="0.3">
      <c r="A13" s="124"/>
      <c r="Q13" s="125"/>
    </row>
    <row r="14" spans="1:17" x14ac:dyDescent="0.3">
      <c r="A14" s="124"/>
      <c r="Q14" s="125"/>
    </row>
    <row r="15" spans="1:17" x14ac:dyDescent="0.3">
      <c r="A15" s="124"/>
      <c r="Q15" s="125"/>
    </row>
    <row r="16" spans="1:17" x14ac:dyDescent="0.3">
      <c r="A16" s="124"/>
      <c r="Q16" s="125"/>
    </row>
    <row r="17" spans="1:17" x14ac:dyDescent="0.3">
      <c r="A17" s="124"/>
      <c r="Q17" s="125"/>
    </row>
    <row r="18" spans="1:17" x14ac:dyDescent="0.3">
      <c r="A18" s="124"/>
      <c r="Q18" s="125"/>
    </row>
    <row r="19" spans="1:17" x14ac:dyDescent="0.3">
      <c r="A19" s="124"/>
      <c r="Q19" s="125"/>
    </row>
    <row r="20" spans="1:17" x14ac:dyDescent="0.3">
      <c r="A20" s="124"/>
      <c r="Q20" s="125"/>
    </row>
    <row r="21" spans="1:17" x14ac:dyDescent="0.3">
      <c r="A21" s="124"/>
      <c r="Q21" s="125"/>
    </row>
    <row r="22" spans="1:17" x14ac:dyDescent="0.3">
      <c r="A22" s="124"/>
      <c r="Q22" s="125"/>
    </row>
    <row r="23" spans="1:17" x14ac:dyDescent="0.3">
      <c r="A23" s="124"/>
      <c r="Q23" s="125"/>
    </row>
    <row r="24" spans="1:17" x14ac:dyDescent="0.3">
      <c r="A24" s="124"/>
      <c r="Q24" s="125"/>
    </row>
    <row r="25" spans="1:17" x14ac:dyDescent="0.3">
      <c r="A25" s="124"/>
      <c r="Q25" s="125"/>
    </row>
    <row r="26" spans="1:17" x14ac:dyDescent="0.3">
      <c r="A26" s="124"/>
      <c r="Q26" s="125"/>
    </row>
    <row r="27" spans="1:17" x14ac:dyDescent="0.3">
      <c r="A27" s="124"/>
      <c r="B27" s="133"/>
      <c r="Q27" s="125"/>
    </row>
    <row r="28" spans="1:17" x14ac:dyDescent="0.3">
      <c r="A28" s="124"/>
      <c r="D28">
        <v>90</v>
      </c>
      <c r="Q28" s="125"/>
    </row>
    <row r="29" spans="1:17" x14ac:dyDescent="0.3">
      <c r="A29" s="124"/>
      <c r="Q29" s="125"/>
    </row>
    <row r="30" spans="1:17" x14ac:dyDescent="0.3">
      <c r="A30" s="124"/>
      <c r="Q30" s="125"/>
    </row>
    <row r="31" spans="1:17" x14ac:dyDescent="0.3">
      <c r="A31" s="124"/>
      <c r="Q31" s="125"/>
    </row>
    <row r="32" spans="1:17" x14ac:dyDescent="0.3">
      <c r="A32" s="124"/>
      <c r="Q32" s="125"/>
    </row>
    <row r="33" spans="1:17" ht="15" thickBot="1" x14ac:dyDescent="0.35">
      <c r="A33" s="126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8"/>
    </row>
    <row r="34" spans="1:17" ht="15" thickTop="1" x14ac:dyDescent="0.3"/>
    <row r="37" spans="1:17" x14ac:dyDescent="0.3">
      <c r="D37">
        <v>120</v>
      </c>
    </row>
    <row r="38" spans="1:17" x14ac:dyDescent="0.3">
      <c r="D38">
        <v>100</v>
      </c>
    </row>
    <row r="39" spans="1:17" x14ac:dyDescent="0.3">
      <c r="D39">
        <v>5.5</v>
      </c>
    </row>
  </sheetData>
  <pageMargins left="0.25" right="0.25" top="0.75" bottom="0.75" header="0.3" footer="0.3"/>
  <pageSetup paperSize="9" scale="9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BFDF-5EF8-42CA-B280-66032AE57BD0}">
  <dimension ref="A1:M39"/>
  <sheetViews>
    <sheetView showGridLines="0" tabSelected="1" view="pageBreakPreview" zoomScale="110" zoomScaleNormal="100" zoomScaleSheetLayoutView="110" workbookViewId="0">
      <selection activeCell="D39" sqref="D39"/>
    </sheetView>
  </sheetViews>
  <sheetFormatPr defaultRowHeight="14.4" x14ac:dyDescent="0.3"/>
  <sheetData>
    <row r="1" spans="1:13" x14ac:dyDescent="0.3">
      <c r="A1" s="62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54"/>
    </row>
    <row r="2" spans="1:13" x14ac:dyDescent="0.3">
      <c r="A2" s="65"/>
      <c r="M2" s="66"/>
    </row>
    <row r="3" spans="1:13" x14ac:dyDescent="0.3">
      <c r="A3" s="65"/>
      <c r="M3" s="66"/>
    </row>
    <row r="4" spans="1:13" x14ac:dyDescent="0.3">
      <c r="A4" s="65"/>
      <c r="M4" s="66"/>
    </row>
    <row r="5" spans="1:13" x14ac:dyDescent="0.3">
      <c r="A5" s="65"/>
      <c r="M5" s="66"/>
    </row>
    <row r="6" spans="1:13" x14ac:dyDescent="0.3">
      <c r="A6" s="65"/>
      <c r="M6" s="66"/>
    </row>
    <row r="7" spans="1:13" x14ac:dyDescent="0.3">
      <c r="A7" s="65"/>
      <c r="M7" s="66"/>
    </row>
    <row r="8" spans="1:13" x14ac:dyDescent="0.3">
      <c r="A8" s="65"/>
      <c r="M8" s="66"/>
    </row>
    <row r="9" spans="1:13" x14ac:dyDescent="0.3">
      <c r="A9" s="65"/>
      <c r="M9" s="66"/>
    </row>
    <row r="10" spans="1:13" x14ac:dyDescent="0.3">
      <c r="A10" s="65"/>
      <c r="M10" s="66"/>
    </row>
    <row r="11" spans="1:13" x14ac:dyDescent="0.3">
      <c r="A11" s="65"/>
      <c r="M11" s="66"/>
    </row>
    <row r="12" spans="1:13" x14ac:dyDescent="0.3">
      <c r="A12" s="65"/>
      <c r="M12" s="66"/>
    </row>
    <row r="13" spans="1:13" x14ac:dyDescent="0.3">
      <c r="A13" s="65"/>
      <c r="M13" s="66"/>
    </row>
    <row r="14" spans="1:13" x14ac:dyDescent="0.3">
      <c r="A14" s="65"/>
      <c r="M14" s="66"/>
    </row>
    <row r="15" spans="1:13" x14ac:dyDescent="0.3">
      <c r="A15" s="65"/>
      <c r="M15" s="66"/>
    </row>
    <row r="16" spans="1:13" x14ac:dyDescent="0.3">
      <c r="A16" s="65"/>
      <c r="M16" s="66"/>
    </row>
    <row r="17" spans="1:13" x14ac:dyDescent="0.3">
      <c r="A17" s="65"/>
      <c r="M17" s="66"/>
    </row>
    <row r="18" spans="1:13" x14ac:dyDescent="0.3">
      <c r="A18" s="65"/>
      <c r="M18" s="66"/>
    </row>
    <row r="19" spans="1:13" x14ac:dyDescent="0.3">
      <c r="A19" s="65"/>
      <c r="M19" s="66"/>
    </row>
    <row r="20" spans="1:13" x14ac:dyDescent="0.3">
      <c r="A20" s="65"/>
      <c r="M20" s="66"/>
    </row>
    <row r="21" spans="1:13" x14ac:dyDescent="0.3">
      <c r="A21" s="65"/>
      <c r="M21" s="66"/>
    </row>
    <row r="22" spans="1:13" x14ac:dyDescent="0.3">
      <c r="A22" s="65"/>
      <c r="M22" s="66"/>
    </row>
    <row r="23" spans="1:13" x14ac:dyDescent="0.3">
      <c r="A23" s="65"/>
      <c r="M23" s="66"/>
    </row>
    <row r="24" spans="1:13" x14ac:dyDescent="0.3">
      <c r="A24" s="65"/>
      <c r="M24" s="66"/>
    </row>
    <row r="25" spans="1:13" x14ac:dyDescent="0.3">
      <c r="A25" s="65"/>
      <c r="M25" s="66"/>
    </row>
    <row r="26" spans="1:13" x14ac:dyDescent="0.3">
      <c r="A26" s="65"/>
      <c r="M26" s="66"/>
    </row>
    <row r="27" spans="1:13" x14ac:dyDescent="0.3">
      <c r="A27" s="65"/>
      <c r="M27" s="66"/>
    </row>
    <row r="28" spans="1:13" x14ac:dyDescent="0.3">
      <c r="A28" s="65"/>
      <c r="D28">
        <v>90</v>
      </c>
      <c r="M28" s="66"/>
    </row>
    <row r="29" spans="1:13" x14ac:dyDescent="0.3">
      <c r="A29" s="65"/>
      <c r="M29" s="66"/>
    </row>
    <row r="30" spans="1:13" ht="15" thickBot="1" x14ac:dyDescent="0.3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70"/>
    </row>
    <row r="37" spans="4:4" x14ac:dyDescent="0.3">
      <c r="D37">
        <v>120</v>
      </c>
    </row>
    <row r="38" spans="4:4" x14ac:dyDescent="0.3">
      <c r="D38">
        <v>100</v>
      </c>
    </row>
    <row r="39" spans="4:4" x14ac:dyDescent="0.3">
      <c r="D39">
        <v>5.5</v>
      </c>
    </row>
  </sheetData>
  <pageMargins left="0.23622047244094491" right="0.23622047244094491" top="0.74803149606299213" bottom="0.74803149606299213" header="0.31496062992125984" footer="0.31496062992125984"/>
  <pageSetup paperSize="9" scale="110" orientation="landscape" r:id="rId1"/>
  <colBreaks count="1" manualBreakCount="1">
    <brk id="1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246C-BD45-489F-919C-201913294426}">
  <dimension ref="A1:V34"/>
  <sheetViews>
    <sheetView showGridLines="0" view="pageBreakPreview" zoomScale="90" zoomScaleNormal="100" zoomScaleSheetLayoutView="90" workbookViewId="0">
      <selection activeCell="V20" sqref="V20"/>
    </sheetView>
  </sheetViews>
  <sheetFormatPr defaultRowHeight="14.4" x14ac:dyDescent="0.3"/>
  <cols>
    <col min="20" max="20" width="72.88671875" bestFit="1" customWidth="1"/>
    <col min="21" max="21" width="13.88671875" bestFit="1" customWidth="1"/>
  </cols>
  <sheetData>
    <row r="1" spans="1:22" ht="15" thickTop="1" x14ac:dyDescent="0.3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3"/>
    </row>
    <row r="2" spans="1:22" x14ac:dyDescent="0.3">
      <c r="A2" s="124"/>
      <c r="Q2" s="125"/>
    </row>
    <row r="3" spans="1:22" ht="15" thickBot="1" x14ac:dyDescent="0.35">
      <c r="A3" s="124"/>
      <c r="Q3" s="125"/>
    </row>
    <row r="4" spans="1:22" ht="15" thickBot="1" x14ac:dyDescent="0.35">
      <c r="A4" s="124"/>
      <c r="Q4" s="125"/>
      <c r="T4" s="13" t="s">
        <v>67</v>
      </c>
      <c r="U4" s="14"/>
      <c r="V4" s="15"/>
    </row>
    <row r="5" spans="1:22" x14ac:dyDescent="0.3">
      <c r="A5" s="124"/>
      <c r="Q5" s="125"/>
      <c r="T5" s="71" t="s">
        <v>54</v>
      </c>
      <c r="U5" s="118">
        <v>30</v>
      </c>
      <c r="V5" s="102" t="s">
        <v>1</v>
      </c>
    </row>
    <row r="6" spans="1:22" x14ac:dyDescent="0.3">
      <c r="A6" s="124"/>
      <c r="Q6" s="125"/>
      <c r="T6" s="20" t="s">
        <v>52</v>
      </c>
      <c r="U6" s="119">
        <v>10</v>
      </c>
      <c r="V6" s="103" t="s">
        <v>1</v>
      </c>
    </row>
    <row r="7" spans="1:22" ht="15" thickBot="1" x14ac:dyDescent="0.35">
      <c r="A7" s="124"/>
      <c r="Q7" s="125"/>
      <c r="T7" s="20" t="s">
        <v>53</v>
      </c>
      <c r="U7" s="116">
        <v>5</v>
      </c>
      <c r="V7" s="104" t="s">
        <v>1</v>
      </c>
    </row>
    <row r="8" spans="1:22" x14ac:dyDescent="0.3">
      <c r="A8" s="124"/>
      <c r="Q8" s="125"/>
      <c r="T8" s="71" t="s">
        <v>56</v>
      </c>
      <c r="U8" s="92">
        <f>U5-((U7/2)*2)</f>
        <v>25</v>
      </c>
      <c r="V8" s="102" t="s">
        <v>1</v>
      </c>
    </row>
    <row r="9" spans="1:22" x14ac:dyDescent="0.3">
      <c r="A9" s="124"/>
      <c r="Q9" s="125"/>
      <c r="T9" s="100" t="s">
        <v>55</v>
      </c>
      <c r="U9" s="97">
        <f>U6-((U7/2)*2)</f>
        <v>5</v>
      </c>
      <c r="V9" s="103" t="s">
        <v>1</v>
      </c>
    </row>
    <row r="10" spans="1:22" ht="15" thickBot="1" x14ac:dyDescent="0.35">
      <c r="A10" s="124"/>
      <c r="Q10" s="125"/>
      <c r="T10" s="18" t="s">
        <v>78</v>
      </c>
      <c r="U10" s="101">
        <f>SQRT((U9^2)+((5/2)^2))</f>
        <v>5.5901699437494745</v>
      </c>
      <c r="V10" s="105" t="s">
        <v>1</v>
      </c>
    </row>
    <row r="11" spans="1:22" ht="15" thickBot="1" x14ac:dyDescent="0.35">
      <c r="A11" s="124"/>
      <c r="Q11" s="125"/>
      <c r="T11" s="99" t="s">
        <v>57</v>
      </c>
      <c r="U11" s="96">
        <f>(U7/6)*((2*U5+U8)*U6+(2*U8+U5)*U9)</f>
        <v>1041.6666666666667</v>
      </c>
      <c r="V11" s="106" t="s">
        <v>29</v>
      </c>
    </row>
    <row r="12" spans="1:22" ht="15" thickBot="1" x14ac:dyDescent="0.35">
      <c r="A12" s="124"/>
      <c r="Q12" s="125"/>
      <c r="T12" s="72" t="s">
        <v>57</v>
      </c>
      <c r="U12" s="93">
        <f>U11*1000</f>
        <v>1041666.6666666667</v>
      </c>
      <c r="V12" s="107" t="s">
        <v>58</v>
      </c>
    </row>
    <row r="13" spans="1:22" x14ac:dyDescent="0.3">
      <c r="A13" s="124"/>
      <c r="Q13" s="125"/>
    </row>
    <row r="14" spans="1:22" x14ac:dyDescent="0.3">
      <c r="A14" s="124"/>
      <c r="Q14" s="125"/>
    </row>
    <row r="15" spans="1:22" x14ac:dyDescent="0.3">
      <c r="A15" s="124"/>
      <c r="Q15" s="125"/>
    </row>
    <row r="16" spans="1:22" x14ac:dyDescent="0.3">
      <c r="A16" s="124"/>
      <c r="Q16" s="125"/>
    </row>
    <row r="17" spans="1:17" x14ac:dyDescent="0.3">
      <c r="A17" s="124"/>
      <c r="Q17" s="125"/>
    </row>
    <row r="18" spans="1:17" x14ac:dyDescent="0.3">
      <c r="A18" s="124"/>
      <c r="Q18" s="125"/>
    </row>
    <row r="19" spans="1:17" x14ac:dyDescent="0.3">
      <c r="A19" s="124"/>
      <c r="Q19" s="125"/>
    </row>
    <row r="20" spans="1:17" x14ac:dyDescent="0.3">
      <c r="A20" s="124"/>
      <c r="Q20" s="125"/>
    </row>
    <row r="21" spans="1:17" x14ac:dyDescent="0.3">
      <c r="A21" s="124"/>
      <c r="Q21" s="125"/>
    </row>
    <row r="22" spans="1:17" x14ac:dyDescent="0.3">
      <c r="A22" s="124"/>
      <c r="Q22" s="125"/>
    </row>
    <row r="23" spans="1:17" x14ac:dyDescent="0.3">
      <c r="A23" s="124"/>
      <c r="Q23" s="125"/>
    </row>
    <row r="24" spans="1:17" x14ac:dyDescent="0.3">
      <c r="A24" s="124"/>
      <c r="Q24" s="125"/>
    </row>
    <row r="25" spans="1:17" x14ac:dyDescent="0.3">
      <c r="A25" s="124"/>
      <c r="Q25" s="125"/>
    </row>
    <row r="26" spans="1:17" x14ac:dyDescent="0.3">
      <c r="A26" s="124"/>
      <c r="Q26" s="125"/>
    </row>
    <row r="27" spans="1:17" x14ac:dyDescent="0.3">
      <c r="A27" s="124"/>
      <c r="B27" s="133"/>
      <c r="Q27" s="125"/>
    </row>
    <row r="28" spans="1:17" x14ac:dyDescent="0.3">
      <c r="A28" s="124"/>
      <c r="Q28" s="125"/>
    </row>
    <row r="29" spans="1:17" x14ac:dyDescent="0.3">
      <c r="A29" s="124"/>
      <c r="Q29" s="125"/>
    </row>
    <row r="30" spans="1:17" x14ac:dyDescent="0.3">
      <c r="A30" s="124"/>
      <c r="Q30" s="125"/>
    </row>
    <row r="31" spans="1:17" x14ac:dyDescent="0.3">
      <c r="A31" s="124"/>
      <c r="Q31" s="125"/>
    </row>
    <row r="32" spans="1:17" x14ac:dyDescent="0.3">
      <c r="A32" s="124"/>
      <c r="Q32" s="125"/>
    </row>
    <row r="33" spans="1:17" ht="15" thickBot="1" x14ac:dyDescent="0.35">
      <c r="A33" s="126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8"/>
    </row>
    <row r="34" spans="1:17" ht="15" thickTop="1" x14ac:dyDescent="0.3"/>
  </sheetData>
  <pageMargins left="0.25" right="0.25" top="0.75" bottom="0.75" header="0.3" footer="0.3"/>
  <pageSetup paperSize="9" scale="9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42CF4-AC7B-45BD-840C-60D6414E7F7B}">
  <dimension ref="A1:C9"/>
  <sheetViews>
    <sheetView workbookViewId="0">
      <selection sqref="A1:C9"/>
    </sheetView>
  </sheetViews>
  <sheetFormatPr defaultRowHeight="14.4" x14ac:dyDescent="0.3"/>
  <cols>
    <col min="1" max="1" width="72.88671875" bestFit="1" customWidth="1"/>
    <col min="2" max="2" width="13.33203125" bestFit="1" customWidth="1"/>
  </cols>
  <sheetData>
    <row r="1" spans="1:3" ht="15" thickBot="1" x14ac:dyDescent="0.35">
      <c r="A1" s="13" t="s">
        <v>67</v>
      </c>
      <c r="B1" s="14"/>
      <c r="C1" s="15"/>
    </row>
    <row r="2" spans="1:3" x14ac:dyDescent="0.3">
      <c r="A2" s="71" t="s">
        <v>54</v>
      </c>
      <c r="B2" s="118">
        <v>30</v>
      </c>
      <c r="C2" s="102" t="s">
        <v>1</v>
      </c>
    </row>
    <row r="3" spans="1:3" x14ac:dyDescent="0.3">
      <c r="A3" s="20" t="s">
        <v>52</v>
      </c>
      <c r="B3" s="119">
        <v>10</v>
      </c>
      <c r="C3" s="103" t="s">
        <v>1</v>
      </c>
    </row>
    <row r="4" spans="1:3" ht="15" thickBot="1" x14ac:dyDescent="0.35">
      <c r="A4" s="20" t="s">
        <v>53</v>
      </c>
      <c r="B4" s="116">
        <v>5</v>
      </c>
      <c r="C4" s="104" t="s">
        <v>1</v>
      </c>
    </row>
    <row r="5" spans="1:3" x14ac:dyDescent="0.3">
      <c r="A5" s="71" t="s">
        <v>56</v>
      </c>
      <c r="B5" s="92">
        <f>B2-((B4/2)*2)</f>
        <v>25</v>
      </c>
      <c r="C5" s="102" t="s">
        <v>1</v>
      </c>
    </row>
    <row r="6" spans="1:3" x14ac:dyDescent="0.3">
      <c r="A6" s="100" t="s">
        <v>55</v>
      </c>
      <c r="B6" s="97">
        <f>B3-((B4/2)*2)</f>
        <v>5</v>
      </c>
      <c r="C6" s="103" t="s">
        <v>1</v>
      </c>
    </row>
    <row r="7" spans="1:3" ht="15" thickBot="1" x14ac:dyDescent="0.35">
      <c r="A7" s="18" t="s">
        <v>62</v>
      </c>
      <c r="B7" s="101">
        <f>SQRT(B4^2+B4^2)</f>
        <v>7.0710678118654755</v>
      </c>
      <c r="C7" s="105" t="s">
        <v>1</v>
      </c>
    </row>
    <row r="8" spans="1:3" ht="15" thickBot="1" x14ac:dyDescent="0.35">
      <c r="A8" s="99" t="s">
        <v>57</v>
      </c>
      <c r="B8" s="96">
        <f>(B4/6)*((2*B2+B5)*B3+(2*B5+B2)*B6)</f>
        <v>1041.6666666666667</v>
      </c>
      <c r="C8" s="106" t="s">
        <v>29</v>
      </c>
    </row>
    <row r="9" spans="1:3" ht="15" thickBot="1" x14ac:dyDescent="0.35">
      <c r="A9" s="72" t="s">
        <v>57</v>
      </c>
      <c r="B9" s="93">
        <f>B8*1000</f>
        <v>1041666.6666666667</v>
      </c>
      <c r="C9" s="107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9"/>
  <sheetViews>
    <sheetView showGridLines="0" topLeftCell="B1" workbookViewId="0">
      <selection activeCell="E34" sqref="E34"/>
    </sheetView>
  </sheetViews>
  <sheetFormatPr defaultRowHeight="14.4" x14ac:dyDescent="0.3"/>
  <cols>
    <col min="2" max="2" width="77.33203125" bestFit="1" customWidth="1"/>
    <col min="3" max="3" width="14.33203125" style="3" bestFit="1" customWidth="1"/>
    <col min="4" max="4" width="14.88671875" bestFit="1" customWidth="1"/>
    <col min="7" max="7" width="64.44140625" bestFit="1" customWidth="1"/>
    <col min="8" max="8" width="14.33203125" style="3" bestFit="1" customWidth="1"/>
    <col min="9" max="9" width="11.5546875" bestFit="1" customWidth="1"/>
  </cols>
  <sheetData>
    <row r="1" spans="2:9" ht="15" thickBot="1" x14ac:dyDescent="0.35"/>
    <row r="2" spans="2:9" ht="15" thickBot="1" x14ac:dyDescent="0.35">
      <c r="B2" s="29" t="s">
        <v>32</v>
      </c>
      <c r="C2" s="34"/>
      <c r="D2" s="30"/>
      <c r="G2" s="29" t="s">
        <v>33</v>
      </c>
      <c r="H2" s="34"/>
      <c r="I2" s="30"/>
    </row>
    <row r="3" spans="2:9" ht="15" thickBot="1" x14ac:dyDescent="0.35"/>
    <row r="4" spans="2:9" ht="15" thickBot="1" x14ac:dyDescent="0.35">
      <c r="B4" s="13" t="s">
        <v>22</v>
      </c>
      <c r="C4" s="14"/>
      <c r="D4" s="15"/>
      <c r="G4" s="13" t="s">
        <v>22</v>
      </c>
      <c r="H4" s="14"/>
      <c r="I4" s="15"/>
    </row>
    <row r="5" spans="2:9" x14ac:dyDescent="0.3">
      <c r="B5" s="16" t="s">
        <v>16</v>
      </c>
      <c r="C5" s="35">
        <v>47</v>
      </c>
      <c r="D5" s="17" t="s">
        <v>17</v>
      </c>
      <c r="G5" s="16" t="s">
        <v>16</v>
      </c>
      <c r="H5" s="35">
        <v>47</v>
      </c>
      <c r="I5" s="17" t="s">
        <v>17</v>
      </c>
    </row>
    <row r="6" spans="2:9" ht="15" thickBot="1" x14ac:dyDescent="0.35">
      <c r="B6" s="20" t="s">
        <v>19</v>
      </c>
      <c r="C6" s="36">
        <v>21</v>
      </c>
      <c r="D6" s="21" t="s">
        <v>20</v>
      </c>
      <c r="G6" s="20" t="s">
        <v>19</v>
      </c>
      <c r="H6" s="36">
        <v>21</v>
      </c>
      <c r="I6" s="21" t="s">
        <v>20</v>
      </c>
    </row>
    <row r="7" spans="2:9" ht="15" thickBot="1" x14ac:dyDescent="0.35">
      <c r="B7" s="24" t="s">
        <v>24</v>
      </c>
      <c r="C7" s="37">
        <f>C5*C6</f>
        <v>987</v>
      </c>
      <c r="D7" s="25" t="s">
        <v>30</v>
      </c>
      <c r="G7" s="24" t="s">
        <v>24</v>
      </c>
      <c r="H7" s="37">
        <f>H5*H6</f>
        <v>987</v>
      </c>
      <c r="I7" s="25" t="s">
        <v>30</v>
      </c>
    </row>
    <row r="8" spans="2:9" ht="15" thickBot="1" x14ac:dyDescent="0.35">
      <c r="C8" s="38"/>
      <c r="H8" s="38"/>
    </row>
    <row r="9" spans="2:9" ht="15" thickBot="1" x14ac:dyDescent="0.35">
      <c r="B9" s="13" t="s">
        <v>23</v>
      </c>
      <c r="C9" s="39"/>
      <c r="D9" s="12"/>
      <c r="G9" s="13" t="s">
        <v>23</v>
      </c>
      <c r="H9" s="39"/>
      <c r="I9" s="12"/>
    </row>
    <row r="10" spans="2:9" x14ac:dyDescent="0.3">
      <c r="B10" s="16" t="s">
        <v>18</v>
      </c>
      <c r="C10" s="35">
        <v>30</v>
      </c>
      <c r="D10" s="17" t="s">
        <v>17</v>
      </c>
      <c r="G10" s="16" t="s">
        <v>18</v>
      </c>
      <c r="H10" s="35">
        <v>30</v>
      </c>
      <c r="I10" s="17" t="s">
        <v>17</v>
      </c>
    </row>
    <row r="11" spans="2:9" ht="15" thickBot="1" x14ac:dyDescent="0.35">
      <c r="B11" s="18" t="s">
        <v>21</v>
      </c>
      <c r="C11" s="40">
        <v>20</v>
      </c>
      <c r="D11" s="19" t="s">
        <v>20</v>
      </c>
      <c r="G11" s="18" t="s">
        <v>21</v>
      </c>
      <c r="H11" s="40">
        <v>20</v>
      </c>
      <c r="I11" s="19" t="s">
        <v>20</v>
      </c>
    </row>
    <row r="12" spans="2:9" ht="15" thickBot="1" x14ac:dyDescent="0.35">
      <c r="B12" s="26" t="s">
        <v>25</v>
      </c>
      <c r="C12" s="41">
        <f>C10*C11</f>
        <v>600</v>
      </c>
      <c r="D12" s="27" t="s">
        <v>30</v>
      </c>
      <c r="G12" s="26" t="s">
        <v>25</v>
      </c>
      <c r="H12" s="41">
        <f>H10*H11</f>
        <v>600</v>
      </c>
      <c r="I12" s="27" t="s">
        <v>30</v>
      </c>
    </row>
    <row r="13" spans="2:9" ht="15" thickBot="1" x14ac:dyDescent="0.35">
      <c r="C13" s="38"/>
      <c r="H13" s="38"/>
    </row>
    <row r="14" spans="2:9" ht="15" thickBot="1" x14ac:dyDescent="0.35">
      <c r="B14" s="13" t="s">
        <v>26</v>
      </c>
      <c r="C14" s="39"/>
      <c r="D14" s="12"/>
      <c r="G14" s="13" t="s">
        <v>34</v>
      </c>
      <c r="H14" s="39"/>
      <c r="I14" s="12"/>
    </row>
    <row r="15" spans="2:9" ht="15" thickBot="1" x14ac:dyDescent="0.35">
      <c r="B15" s="24" t="s">
        <v>24</v>
      </c>
      <c r="C15" s="37">
        <f>C7</f>
        <v>987</v>
      </c>
      <c r="D15" s="25" t="s">
        <v>30</v>
      </c>
      <c r="G15" s="16" t="s">
        <v>35</v>
      </c>
      <c r="H15" s="31">
        <v>30</v>
      </c>
      <c r="I15" s="17" t="s">
        <v>36</v>
      </c>
    </row>
    <row r="16" spans="2:9" ht="15" thickBot="1" x14ac:dyDescent="0.35">
      <c r="B16" s="26" t="s">
        <v>25</v>
      </c>
      <c r="C16" s="41">
        <f>C12</f>
        <v>600</v>
      </c>
      <c r="D16" s="27" t="s">
        <v>30</v>
      </c>
      <c r="G16" s="32" t="s">
        <v>37</v>
      </c>
      <c r="H16" s="44">
        <f>H15*H7</f>
        <v>29610</v>
      </c>
      <c r="I16" s="33" t="s">
        <v>38</v>
      </c>
    </row>
    <row r="17" spans="2:9" ht="15" thickBot="1" x14ac:dyDescent="0.35">
      <c r="B17" s="22" t="s">
        <v>27</v>
      </c>
      <c r="C17" s="42">
        <f>C15-C16</f>
        <v>387</v>
      </c>
      <c r="D17" s="23" t="s">
        <v>30</v>
      </c>
      <c r="G17" s="32" t="s">
        <v>37</v>
      </c>
      <c r="H17" s="45">
        <f>H16*1000</f>
        <v>29610000</v>
      </c>
      <c r="I17" s="33" t="s">
        <v>39</v>
      </c>
    </row>
    <row r="18" spans="2:9" ht="15" thickBot="1" x14ac:dyDescent="0.35">
      <c r="C18" s="38"/>
    </row>
    <row r="19" spans="2:9" ht="15" thickBot="1" x14ac:dyDescent="0.35">
      <c r="B19" s="57" t="s">
        <v>42</v>
      </c>
      <c r="C19" s="53"/>
      <c r="D19" s="54"/>
    </row>
    <row r="20" spans="2:9" x14ac:dyDescent="0.3">
      <c r="B20" s="59" t="s">
        <v>43</v>
      </c>
      <c r="C20" s="61">
        <v>30</v>
      </c>
      <c r="D20" s="60" t="s">
        <v>44</v>
      </c>
    </row>
    <row r="21" spans="2:9" ht="15" thickBot="1" x14ac:dyDescent="0.35">
      <c r="B21" s="58" t="s">
        <v>46</v>
      </c>
      <c r="C21" s="55">
        <f>C7*C20</f>
        <v>29610</v>
      </c>
      <c r="D21" s="56" t="s">
        <v>31</v>
      </c>
    </row>
    <row r="22" spans="2:9" ht="15" thickBot="1" x14ac:dyDescent="0.35">
      <c r="B22" s="26" t="s">
        <v>45</v>
      </c>
      <c r="C22" s="41">
        <f>C12*C20</f>
        <v>18000</v>
      </c>
      <c r="D22" s="27" t="s">
        <v>31</v>
      </c>
      <c r="G22" s="46"/>
      <c r="H22" s="38"/>
    </row>
    <row r="23" spans="2:9" ht="15" thickBot="1" x14ac:dyDescent="0.35">
      <c r="B23" s="22" t="s">
        <v>47</v>
      </c>
      <c r="C23" s="42">
        <f>C21-C22</f>
        <v>11610</v>
      </c>
      <c r="D23" s="23" t="s">
        <v>29</v>
      </c>
      <c r="G23" s="47"/>
      <c r="H23" s="48"/>
      <c r="I23" s="47"/>
    </row>
    <row r="24" spans="2:9" ht="15" thickBot="1" x14ac:dyDescent="0.35">
      <c r="B24" s="22" t="s">
        <v>48</v>
      </c>
      <c r="C24" s="43">
        <f>C23*1000</f>
        <v>11610000</v>
      </c>
      <c r="D24" s="23" t="s">
        <v>28</v>
      </c>
      <c r="G24" s="49"/>
      <c r="H24" s="50"/>
      <c r="I24" s="49"/>
    </row>
    <row r="25" spans="2:9" ht="15" thickBot="1" x14ac:dyDescent="0.35">
      <c r="G25" s="7"/>
      <c r="H25" s="51"/>
      <c r="I25" s="7"/>
    </row>
    <row r="26" spans="2:9" ht="15" thickBot="1" x14ac:dyDescent="0.35">
      <c r="B26" s="13" t="s">
        <v>49</v>
      </c>
      <c r="C26" s="39"/>
      <c r="D26" s="12"/>
      <c r="H26" s="38"/>
    </row>
    <row r="27" spans="2:9" ht="15" thickBot="1" x14ac:dyDescent="0.35">
      <c r="B27" s="26" t="s">
        <v>40</v>
      </c>
      <c r="C27" s="41">
        <v>4</v>
      </c>
      <c r="D27" s="27" t="s">
        <v>50</v>
      </c>
      <c r="G27" s="47"/>
      <c r="H27" s="48"/>
      <c r="I27" s="47"/>
    </row>
    <row r="28" spans="2:9" ht="15" thickBot="1" x14ac:dyDescent="0.35">
      <c r="B28" s="26" t="s">
        <v>41</v>
      </c>
      <c r="C28" s="41">
        <f>C27*C20</f>
        <v>120</v>
      </c>
      <c r="D28" s="27" t="s">
        <v>51</v>
      </c>
      <c r="G28" s="47"/>
      <c r="H28" s="48"/>
      <c r="I28" s="47"/>
    </row>
    <row r="29" spans="2:9" x14ac:dyDescent="0.3">
      <c r="G29" s="7"/>
      <c r="H29" s="52"/>
      <c r="I29" s="7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view="pageBreakPreview" topLeftCell="E1" zoomScale="60" zoomScaleNormal="100" workbookViewId="0">
      <selection activeCell="Z58" sqref="Z58"/>
    </sheetView>
  </sheetViews>
  <sheetFormatPr defaultColWidth="9.109375" defaultRowHeight="14.4" x14ac:dyDescent="0.3"/>
  <cols>
    <col min="1" max="4" width="0" style="5" hidden="1" customWidth="1"/>
    <col min="5" max="16384" width="9.109375" style="5"/>
  </cols>
  <sheetData>
    <row r="1" spans="1:1" x14ac:dyDescent="0.3">
      <c r="A1" s="6"/>
    </row>
  </sheetData>
  <pageMargins left="0.511811024" right="0.511811024" top="0.78740157499999996" bottom="0.78740157499999996" header="0.31496062000000002" footer="0.31496062000000002"/>
  <pageSetup paperSize="9" scale="88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topLeftCell="A3" zoomScale="70" zoomScaleNormal="70" workbookViewId="0">
      <selection activeCell="AF34" sqref="AF34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4</vt:i4>
      </vt:variant>
    </vt:vector>
  </HeadingPairs>
  <TitlesOfParts>
    <vt:vector size="13" baseType="lpstr">
      <vt:lpstr>Plan1</vt:lpstr>
      <vt:lpstr>Simulação com Deficit Diario</vt:lpstr>
      <vt:lpstr>Layout-01</vt:lpstr>
      <vt:lpstr>Layout-02</vt:lpstr>
      <vt:lpstr>Layout-67º</vt:lpstr>
      <vt:lpstr>Planilha1</vt:lpstr>
      <vt:lpstr>Simulação sem Entrada de agua</vt:lpstr>
      <vt:lpstr>Plan3</vt:lpstr>
      <vt:lpstr>Plan5</vt:lpstr>
      <vt:lpstr>'Layout-01'!Area_de_impressao</vt:lpstr>
      <vt:lpstr>'Layout-02'!Area_de_impressao</vt:lpstr>
      <vt:lpstr>'Layout-67º'!Area_de_impressao</vt:lpstr>
      <vt:lpstr>'Simulação com Deficit Diario'!Area_de_impressao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</dc:creator>
  <cp:lastModifiedBy>Bolsa Irriga</cp:lastModifiedBy>
  <cp:lastPrinted>2025-05-07T15:34:43Z</cp:lastPrinted>
  <dcterms:created xsi:type="dcterms:W3CDTF">2020-01-22T21:52:45Z</dcterms:created>
  <dcterms:modified xsi:type="dcterms:W3CDTF">2025-05-07T15:34:47Z</dcterms:modified>
</cp:coreProperties>
</file>