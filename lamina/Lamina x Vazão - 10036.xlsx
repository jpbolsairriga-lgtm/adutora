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anejo de Irrigação\"/>
    </mc:Choice>
  </mc:AlternateContent>
  <xr:revisionPtr revIDLastSave="0" documentId="13_ncr:1_{62B60C03-8D5E-4FC0-BA2A-DE8BECA562FD}" xr6:coauthVersionLast="47" xr6:coauthVersionMax="47" xr10:uidLastSave="{00000000-0000-0000-0000-000000000000}"/>
  <bookViews>
    <workbookView xWindow="-108" yWindow="-108" windowWidth="23256" windowHeight="12456" xr2:uid="{BBF535B1-4353-4971-A669-159A7B63A254}"/>
  </bookViews>
  <sheets>
    <sheet name="Lam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D5" i="1"/>
  <c r="D6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F4" i="1"/>
  <c r="E16" i="1" l="1"/>
  <c r="E17" i="1" s="1"/>
  <c r="E18" i="1" s="1"/>
  <c r="E19" i="1" s="1"/>
  <c r="E20" i="1" s="1"/>
  <c r="E21" i="1" s="1"/>
  <c r="E22" i="1" s="1"/>
  <c r="D7" i="1"/>
  <c r="F6" i="1"/>
  <c r="F5" i="1"/>
  <c r="G5" i="1" s="1"/>
  <c r="G6" i="1" l="1"/>
  <c r="D8" i="1"/>
  <c r="F7" i="1"/>
  <c r="G7" i="1" l="1"/>
  <c r="F8" i="1"/>
  <c r="D9" i="1"/>
  <c r="G8" i="1" l="1"/>
  <c r="D10" i="1"/>
  <c r="F9" i="1"/>
  <c r="G9" i="1" l="1"/>
  <c r="F10" i="1"/>
  <c r="D11" i="1"/>
  <c r="G10" i="1" l="1"/>
  <c r="D12" i="1"/>
  <c r="F11" i="1"/>
  <c r="G11" i="1" l="1"/>
  <c r="D13" i="1"/>
  <c r="F12" i="1"/>
  <c r="G12" i="1" l="1"/>
  <c r="D14" i="1"/>
  <c r="F13" i="1"/>
  <c r="G13" i="1" l="1"/>
  <c r="F14" i="1"/>
  <c r="D15" i="1"/>
  <c r="G14" i="1" l="1"/>
  <c r="D16" i="1"/>
  <c r="F15" i="1"/>
  <c r="G15" i="1" l="1"/>
  <c r="F16" i="1"/>
  <c r="G16" i="1" s="1"/>
  <c r="D17" i="1"/>
  <c r="D18" i="1" l="1"/>
  <c r="F17" i="1"/>
  <c r="G17" i="1" s="1"/>
  <c r="F18" i="1" l="1"/>
  <c r="D19" i="1"/>
  <c r="G18" i="1" l="1"/>
  <c r="F19" i="1"/>
  <c r="D20" i="1"/>
  <c r="G19" i="1" l="1"/>
  <c r="F20" i="1"/>
  <c r="D21" i="1"/>
  <c r="G20" i="1" l="1"/>
  <c r="F21" i="1"/>
  <c r="D22" i="1"/>
  <c r="F22" i="1" s="1"/>
  <c r="G22" i="1" l="1"/>
  <c r="G21" i="1"/>
</calcChain>
</file>

<file path=xl/sharedStrings.xml><?xml version="1.0" encoding="utf-8"?>
<sst xmlns="http://schemas.openxmlformats.org/spreadsheetml/2006/main" count="10" uniqueCount="9">
  <si>
    <t>Área (há):</t>
  </si>
  <si>
    <t>mm/dia:</t>
  </si>
  <si>
    <t>Turno (h):</t>
  </si>
  <si>
    <t>Vazão (m3/h):</t>
  </si>
  <si>
    <t>TABELA DE LAMINA DE IRRIGAÇÃO (mm/dia)</t>
  </si>
  <si>
    <t>Incremento</t>
  </si>
  <si>
    <t>Tempo (h):</t>
  </si>
  <si>
    <t>Lamina (mm/dia):</t>
  </si>
  <si>
    <t>Vazão Disponivel (m3/h):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</si>
</sst>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2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172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172" fontId="1" fillId="0" borderId="17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69" fontId="1" fillId="0" borderId="5" xfId="0" applyNumberFormat="1" applyFont="1" applyBorder="1" applyAlignment="1">
      <alignment horizontal="center"/>
    </xf>
    <xf numFmtId="169" fontId="1" fillId="0" borderId="6" xfId="0" applyNumberFormat="1" applyFont="1" applyBorder="1" applyAlignment="1">
      <alignment horizontal="center"/>
    </xf>
    <xf numFmtId="169" fontId="1" fillId="0" borderId="7" xfId="0" applyNumberFormat="1" applyFont="1" applyBorder="1" applyAlignment="1">
      <alignment horizontal="center"/>
    </xf>
    <xf numFmtId="0" fontId="1" fillId="0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2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h:mm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3B9A9-F6AD-4015-A70F-B3A628C57A67}" name="Tabela1" displayName="Tabela1" ref="C3:G22" totalsRowShown="0" headerRowDxfId="2" headerRowBorderDxfId="6" tableBorderDxfId="7">
  <autoFilter ref="C3:G22" xr:uid="{6653B9A9-F6AD-4015-A70F-B3A628C57A6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147F24-A19A-4B55-BAB9-9EBBB0307350}" name="mm/dia:" dataDxfId="5">
      <calculatedColumnFormula>C3+0.5</calculatedColumnFormula>
    </tableColumn>
    <tableColumn id="2" xr3:uid="{8E1BCD97-57D3-49FD-B8B5-8D5671242E30}" name="Área (há):" dataDxfId="4">
      <calculatedColumnFormula>D3</calculatedColumnFormula>
    </tableColumn>
    <tableColumn id="3" xr3:uid="{4B6D11DE-5F8C-4538-85C5-E1A3400D9F8A}" name="Turno (h):" dataDxfId="3">
      <calculatedColumnFormula>E3</calculatedColumnFormula>
    </tableColumn>
    <tableColumn id="4" xr3:uid="{19BBA2BF-EBFD-4376-A94F-3FF678E9B34D}" name="Vazão (m3/h):" dataDxfId="1">
      <calculatedColumnFormula>((D4*C4)*10)/(E4*24)</calculatedColumnFormula>
    </tableColumn>
    <tableColumn id="5" xr3:uid="{5F90A66E-7927-4EE9-A451-0F7D8C99ABC7}" name="Incremento" dataDxfId="0">
      <calculatedColumnFormula>Tabela1[[#This Row],[Vazão (m3/h):]]-F3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0E24-34FF-4970-AA09-D6F7A9B3423B}">
  <dimension ref="C1:K22"/>
  <sheetViews>
    <sheetView showGridLines="0" tabSelected="1" workbookViewId="0">
      <selection activeCell="K7" sqref="K7"/>
    </sheetView>
  </sheetViews>
  <sheetFormatPr defaultRowHeight="14.4" x14ac:dyDescent="0.3"/>
  <cols>
    <col min="2" max="2" width="9.33203125" bestFit="1" customWidth="1"/>
    <col min="3" max="3" width="8.33203125" bestFit="1" customWidth="1"/>
    <col min="4" max="4" width="9.33203125" bestFit="1" customWidth="1"/>
    <col min="5" max="5" width="9.44140625" bestFit="1" customWidth="1"/>
    <col min="6" max="6" width="13.21875" bestFit="1" customWidth="1"/>
    <col min="7" max="7" width="10.77734375" bestFit="1" customWidth="1"/>
    <col min="10" max="10" width="22.5546875" bestFit="1" customWidth="1"/>
  </cols>
  <sheetData>
    <row r="1" spans="3:11" ht="15" thickBot="1" x14ac:dyDescent="0.35"/>
    <row r="2" spans="3:11" ht="15" thickBot="1" x14ac:dyDescent="0.35">
      <c r="C2" s="8" t="s">
        <v>4</v>
      </c>
      <c r="D2" s="9"/>
      <c r="E2" s="9"/>
      <c r="F2" s="9"/>
      <c r="G2" s="10"/>
    </row>
    <row r="3" spans="3:11" ht="15" thickBot="1" x14ac:dyDescent="0.35">
      <c r="C3" s="17" t="s">
        <v>1</v>
      </c>
      <c r="D3" s="18" t="s">
        <v>0</v>
      </c>
      <c r="E3" s="19" t="s">
        <v>2</v>
      </c>
      <c r="F3" s="20" t="s">
        <v>3</v>
      </c>
      <c r="G3" s="21" t="s">
        <v>5</v>
      </c>
    </row>
    <row r="4" spans="3:11" x14ac:dyDescent="0.3">
      <c r="C4" s="4">
        <v>1</v>
      </c>
      <c r="D4" s="3">
        <v>1</v>
      </c>
      <c r="E4" s="6">
        <v>0.875</v>
      </c>
      <c r="F4" s="11">
        <f>((D4*C4)*10)/(E4*24)</f>
        <v>0.47619047619047616</v>
      </c>
      <c r="G4" s="24">
        <v>0.23799999999999999</v>
      </c>
    </row>
    <row r="5" spans="3:11" x14ac:dyDescent="0.3">
      <c r="C5" s="5">
        <f>C4+0.5</f>
        <v>1.5</v>
      </c>
      <c r="D5" s="2">
        <f>D4</f>
        <v>1</v>
      </c>
      <c r="E5" s="7">
        <f>E4</f>
        <v>0.875</v>
      </c>
      <c r="F5" s="12">
        <f>((D5*C5)*10)/(E5*24)</f>
        <v>0.7142857142857143</v>
      </c>
      <c r="G5" s="22">
        <f>Tabela1[[#This Row],[Vazão (m3/h):]]-F4</f>
        <v>0.23809523809523814</v>
      </c>
    </row>
    <row r="6" spans="3:11" x14ac:dyDescent="0.3">
      <c r="C6" s="5">
        <f t="shared" ref="C6:C13" si="0">C5+0.5</f>
        <v>2</v>
      </c>
      <c r="D6" s="2">
        <f t="shared" ref="D6:D14" si="1">D5</f>
        <v>1</v>
      </c>
      <c r="E6" s="7">
        <f t="shared" ref="E6:E22" si="2">E5</f>
        <v>0.875</v>
      </c>
      <c r="F6" s="12">
        <f>((D6*C6)*10)/(E6*24)</f>
        <v>0.95238095238095233</v>
      </c>
      <c r="G6" s="22">
        <f>Tabela1[[#This Row],[Vazão (m3/h):]]-F5</f>
        <v>0.23809523809523803</v>
      </c>
    </row>
    <row r="7" spans="3:11" x14ac:dyDescent="0.3">
      <c r="C7" s="5">
        <f t="shared" si="0"/>
        <v>2.5</v>
      </c>
      <c r="D7" s="2">
        <f t="shared" si="1"/>
        <v>1</v>
      </c>
      <c r="E7" s="7">
        <f t="shared" si="2"/>
        <v>0.875</v>
      </c>
      <c r="F7" s="12">
        <f>((D7*C7)*10)/(E7*24)</f>
        <v>1.1904761904761905</v>
      </c>
      <c r="G7" s="22">
        <f>Tabela1[[#This Row],[Vazão (m3/h):]]-F6</f>
        <v>0.23809523809523814</v>
      </c>
      <c r="J7" s="1" t="s">
        <v>8</v>
      </c>
      <c r="K7" s="27">
        <v>39</v>
      </c>
    </row>
    <row r="8" spans="3:11" x14ac:dyDescent="0.3">
      <c r="C8" s="5">
        <f t="shared" si="0"/>
        <v>3</v>
      </c>
      <c r="D8" s="2">
        <f t="shared" si="1"/>
        <v>1</v>
      </c>
      <c r="E8" s="7">
        <f t="shared" si="2"/>
        <v>0.875</v>
      </c>
      <c r="F8" s="12">
        <f>((D8*C8)*10)/(E8*24)</f>
        <v>1.4285714285714286</v>
      </c>
      <c r="G8" s="22">
        <f>Tabela1[[#This Row],[Vazão (m3/h):]]-F7</f>
        <v>0.23809523809523814</v>
      </c>
      <c r="J8" s="1" t="s">
        <v>6</v>
      </c>
      <c r="K8" s="28">
        <v>0.875</v>
      </c>
    </row>
    <row r="9" spans="3:11" x14ac:dyDescent="0.3">
      <c r="C9" s="5">
        <f t="shared" si="0"/>
        <v>3.5</v>
      </c>
      <c r="D9" s="2">
        <f t="shared" si="1"/>
        <v>1</v>
      </c>
      <c r="E9" s="7">
        <f t="shared" si="2"/>
        <v>0.875</v>
      </c>
      <c r="F9" s="12">
        <f>((D9*C9)*10)/(E9*24)</f>
        <v>1.6666666666666667</v>
      </c>
      <c r="G9" s="22">
        <f>Tabela1[[#This Row],[Vazão (m3/h):]]-F8</f>
        <v>0.23809523809523814</v>
      </c>
      <c r="J9" s="1" t="s">
        <v>0</v>
      </c>
      <c r="K9" s="27">
        <v>39</v>
      </c>
    </row>
    <row r="10" spans="3:11" x14ac:dyDescent="0.3">
      <c r="C10" s="5">
        <f t="shared" si="0"/>
        <v>4</v>
      </c>
      <c r="D10" s="2">
        <f t="shared" si="1"/>
        <v>1</v>
      </c>
      <c r="E10" s="7">
        <f t="shared" si="2"/>
        <v>0.875</v>
      </c>
      <c r="F10" s="12">
        <f>((D10*C10)*10)/(E10*24)</f>
        <v>1.9047619047619047</v>
      </c>
      <c r="G10" s="22">
        <f>Tabela1[[#This Row],[Vazão (m3/h):]]-F9</f>
        <v>0.23809523809523792</v>
      </c>
      <c r="J10" s="25" t="s">
        <v>7</v>
      </c>
      <c r="K10" s="26">
        <f>(((K7*1000)*(K8*24))/(K9*10000))</f>
        <v>2.1</v>
      </c>
    </row>
    <row r="11" spans="3:11" x14ac:dyDescent="0.3">
      <c r="C11" s="5">
        <f t="shared" si="0"/>
        <v>4.5</v>
      </c>
      <c r="D11" s="2">
        <f t="shared" si="1"/>
        <v>1</v>
      </c>
      <c r="E11" s="7">
        <f t="shared" si="2"/>
        <v>0.875</v>
      </c>
      <c r="F11" s="12">
        <f>((D11*C11)*10)/(E11*24)</f>
        <v>2.1428571428571428</v>
      </c>
      <c r="G11" s="22">
        <f>Tabela1[[#This Row],[Vazão (m3/h):]]-F10</f>
        <v>0.23809523809523814</v>
      </c>
    </row>
    <row r="12" spans="3:11" x14ac:dyDescent="0.3">
      <c r="C12" s="5">
        <f t="shared" si="0"/>
        <v>5</v>
      </c>
      <c r="D12" s="2">
        <f t="shared" si="1"/>
        <v>1</v>
      </c>
      <c r="E12" s="7">
        <f t="shared" si="2"/>
        <v>0.875</v>
      </c>
      <c r="F12" s="12">
        <f>((D12*C12)*10)/(E12*24)</f>
        <v>2.3809523809523809</v>
      </c>
      <c r="G12" s="22">
        <f>Tabela1[[#This Row],[Vazão (m3/h):]]-F11</f>
        <v>0.23809523809523814</v>
      </c>
    </row>
    <row r="13" spans="3:11" x14ac:dyDescent="0.3">
      <c r="C13" s="5">
        <f t="shared" si="0"/>
        <v>5.5</v>
      </c>
      <c r="D13" s="2">
        <f t="shared" si="1"/>
        <v>1</v>
      </c>
      <c r="E13" s="7">
        <f t="shared" si="2"/>
        <v>0.875</v>
      </c>
      <c r="F13" s="12">
        <f>((D13*C13)*10)/(E13*24)</f>
        <v>2.6190476190476191</v>
      </c>
      <c r="G13" s="22">
        <f>Tabela1[[#This Row],[Vazão (m3/h):]]-F12</f>
        <v>0.23809523809523814</v>
      </c>
    </row>
    <row r="14" spans="3:11" x14ac:dyDescent="0.3">
      <c r="C14" s="5">
        <f t="shared" ref="C14" si="3">C13+0.5</f>
        <v>6</v>
      </c>
      <c r="D14" s="2">
        <f t="shared" si="1"/>
        <v>1</v>
      </c>
      <c r="E14" s="7">
        <f t="shared" si="2"/>
        <v>0.875</v>
      </c>
      <c r="F14" s="12">
        <f>((D14*C14)*10)/(E14*24)</f>
        <v>2.8571428571428572</v>
      </c>
      <c r="G14" s="22">
        <f>Tabela1[[#This Row],[Vazão (m3/h):]]-F13</f>
        <v>0.23809523809523814</v>
      </c>
    </row>
    <row r="15" spans="3:11" x14ac:dyDescent="0.3">
      <c r="C15" s="5">
        <f t="shared" ref="C15:C17" si="4">C14+0.5</f>
        <v>6.5</v>
      </c>
      <c r="D15" s="2">
        <f t="shared" ref="D15:D17" si="5">D14</f>
        <v>1</v>
      </c>
      <c r="E15" s="7">
        <f t="shared" si="2"/>
        <v>0.875</v>
      </c>
      <c r="F15" s="12">
        <f>((D15*C15)*10)/(E15*24)</f>
        <v>3.0952380952380953</v>
      </c>
      <c r="G15" s="22">
        <f>Tabela1[[#This Row],[Vazão (m3/h):]]-F14</f>
        <v>0.23809523809523814</v>
      </c>
    </row>
    <row r="16" spans="3:11" x14ac:dyDescent="0.3">
      <c r="C16" s="5">
        <f t="shared" si="4"/>
        <v>7</v>
      </c>
      <c r="D16" s="2">
        <f t="shared" si="5"/>
        <v>1</v>
      </c>
      <c r="E16" s="7">
        <f t="shared" si="2"/>
        <v>0.875</v>
      </c>
      <c r="F16" s="12">
        <f>((D16*C16)*10)/(E16*24)</f>
        <v>3.3333333333333335</v>
      </c>
      <c r="G16" s="22">
        <f>Tabela1[[#This Row],[Vazão (m3/h):]]-F15</f>
        <v>0.23809523809523814</v>
      </c>
    </row>
    <row r="17" spans="3:7" x14ac:dyDescent="0.3">
      <c r="C17" s="5">
        <f t="shared" si="4"/>
        <v>7.5</v>
      </c>
      <c r="D17" s="2">
        <f t="shared" si="5"/>
        <v>1</v>
      </c>
      <c r="E17" s="7">
        <f t="shared" si="2"/>
        <v>0.875</v>
      </c>
      <c r="F17" s="12">
        <f>((D17*C17)*10)/(E17*24)</f>
        <v>3.5714285714285716</v>
      </c>
      <c r="G17" s="22">
        <f>Tabela1[[#This Row],[Vazão (m3/h):]]-F16</f>
        <v>0.23809523809523814</v>
      </c>
    </row>
    <row r="18" spans="3:7" x14ac:dyDescent="0.3">
      <c r="C18" s="5">
        <f t="shared" ref="C18:C22" si="6">C17+0.5</f>
        <v>8</v>
      </c>
      <c r="D18" s="2">
        <f t="shared" ref="D18:D22" si="7">D17</f>
        <v>1</v>
      </c>
      <c r="E18" s="7">
        <f t="shared" si="2"/>
        <v>0.875</v>
      </c>
      <c r="F18" s="12">
        <f>((D18*C18)*10)/(E18*24)</f>
        <v>3.8095238095238093</v>
      </c>
      <c r="G18" s="22">
        <f>Tabela1[[#This Row],[Vazão (m3/h):]]-F17</f>
        <v>0.23809523809523769</v>
      </c>
    </row>
    <row r="19" spans="3:7" x14ac:dyDescent="0.3">
      <c r="C19" s="5">
        <f t="shared" si="6"/>
        <v>8.5</v>
      </c>
      <c r="D19" s="2">
        <f t="shared" si="7"/>
        <v>1</v>
      </c>
      <c r="E19" s="7">
        <f t="shared" si="2"/>
        <v>0.875</v>
      </c>
      <c r="F19" s="12">
        <f>((D19*C19)*10)/(E19*24)</f>
        <v>4.0476190476190474</v>
      </c>
      <c r="G19" s="22">
        <f>Tabela1[[#This Row],[Vazão (m3/h):]]-F18</f>
        <v>0.23809523809523814</v>
      </c>
    </row>
    <row r="20" spans="3:7" x14ac:dyDescent="0.3">
      <c r="C20" s="5">
        <f t="shared" si="6"/>
        <v>9</v>
      </c>
      <c r="D20" s="2">
        <f t="shared" si="7"/>
        <v>1</v>
      </c>
      <c r="E20" s="7">
        <f t="shared" si="2"/>
        <v>0.875</v>
      </c>
      <c r="F20" s="12">
        <f>((D20*C20)*10)/(E20*24)</f>
        <v>4.2857142857142856</v>
      </c>
      <c r="G20" s="22">
        <f>Tabela1[[#This Row],[Vazão (m3/h):]]-F19</f>
        <v>0.23809523809523814</v>
      </c>
    </row>
    <row r="21" spans="3:7" x14ac:dyDescent="0.3">
      <c r="C21" s="5">
        <f t="shared" si="6"/>
        <v>9.5</v>
      </c>
      <c r="D21" s="2">
        <f t="shared" si="7"/>
        <v>1</v>
      </c>
      <c r="E21" s="7">
        <f t="shared" si="2"/>
        <v>0.875</v>
      </c>
      <c r="F21" s="12">
        <f>((D21*C21)*10)/(E21*24)</f>
        <v>4.5238095238095237</v>
      </c>
      <c r="G21" s="22">
        <f>Tabela1[[#This Row],[Vazão (m3/h):]]-F20</f>
        <v>0.23809523809523814</v>
      </c>
    </row>
    <row r="22" spans="3:7" ht="15" thickBot="1" x14ac:dyDescent="0.35">
      <c r="C22" s="13">
        <f t="shared" si="6"/>
        <v>10</v>
      </c>
      <c r="D22" s="14">
        <f t="shared" si="7"/>
        <v>1</v>
      </c>
      <c r="E22" s="15">
        <f t="shared" si="2"/>
        <v>0.875</v>
      </c>
      <c r="F22" s="16">
        <f>((D22*C22)*10)/(E22*24)</f>
        <v>4.7619047619047619</v>
      </c>
      <c r="G22" s="23">
        <f>Tabela1[[#This Row],[Vazão (m3/h):]]-F21</f>
        <v>0.23809523809523814</v>
      </c>
    </row>
  </sheetData>
  <mergeCells count="1">
    <mergeCell ref="C2:G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Irriga</dc:creator>
  <cp:lastModifiedBy>Bolsa Irriga</cp:lastModifiedBy>
  <dcterms:created xsi:type="dcterms:W3CDTF">2026-03-06T19:29:03Z</dcterms:created>
  <dcterms:modified xsi:type="dcterms:W3CDTF">2026-03-16T21:28:06Z</dcterms:modified>
</cp:coreProperties>
</file>