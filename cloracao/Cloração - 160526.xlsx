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Irriga\Downloads\Reservatorio\"/>
    </mc:Choice>
  </mc:AlternateContent>
  <xr:revisionPtr revIDLastSave="0" documentId="8_{30211541-F5FC-4ABC-A082-90B29B4B25B8}" xr6:coauthVersionLast="47" xr6:coauthVersionMax="47" xr10:uidLastSave="{00000000-0000-0000-0000-000000000000}"/>
  <bookViews>
    <workbookView xWindow="-108" yWindow="-108" windowWidth="23256" windowHeight="12456" xr2:uid="{6D9E1FCE-FFA8-4182-A4D5-FA4DEB1E39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E16" i="1"/>
  <c r="E12" i="1"/>
  <c r="E13" i="1"/>
  <c r="E14" i="1"/>
  <c r="E15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<sst xmlns="http://schemas.openxmlformats.org/spreadsheetml/2006/main" count="8" uniqueCount="8">
  <si>
    <t>CÁLCULO CLORAÇÃO</t>
  </si>
  <si>
    <t>Operação</t>
  </si>
  <si>
    <t>Q: (m3/h)</t>
  </si>
  <si>
    <t>Concentração na água de irrigação ppm</t>
  </si>
  <si>
    <t>Quantidade produto comercial por operação</t>
  </si>
  <si>
    <t>Cloro concentração do produto comercial %</t>
  </si>
  <si>
    <t>Tempo de injeção minutos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</si>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</sst>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1" fillId="2" borderId="5" xfId="1" applyFill="1" applyBorder="1" applyAlignment="1" applyProtection="1">
      <alignment horizontal="center"/>
    </xf>
    <xf numFmtId="2" fontId="1" fillId="3" borderId="5" xfId="1" applyNumberFormat="1" applyFill="1" applyBorder="1" applyAlignment="1" applyProtection="1">
      <alignment horizontal="center"/>
      <protection locked="0"/>
    </xf>
    <xf numFmtId="0" fontId="1" fillId="3" borderId="5" xfId="1" applyFill="1" applyBorder="1" applyAlignment="1" applyProtection="1">
      <alignment horizontal="center"/>
      <protection locked="0"/>
    </xf>
    <xf numFmtId="2" fontId="1" fillId="2" borderId="5" xfId="1" applyNumberFormat="1" applyFill="1" applyBorder="1" applyAlignment="1" applyProtection="1">
      <alignment horizontal="center"/>
    </xf>
    <xf numFmtId="0" fontId="1" fillId="2" borderId="5" xfId="1" applyFill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 applyProtection="1">
      <alignment horizontal="center"/>
      <protection locked="0"/>
    </xf>
    <xf numFmtId="2" fontId="4" fillId="0" borderId="5" xfId="0" applyNumberFormat="1" applyFont="1" applyBorder="1" applyAlignment="1">
      <alignment horizontal="center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FD08-61FA-425D-9B24-46132B73B0DC}">
  <dimension ref="B1:G17"/>
  <sheetViews>
    <sheetView tabSelected="1" workbookViewId="0">
      <selection activeCell="H13" sqref="H13"/>
    </sheetView>
  </sheetViews>
  <sheetFormatPr defaultRowHeight="14.4" x14ac:dyDescent="0.3"/>
  <cols>
    <col min="2" max="2" width="8.33203125" bestFit="1" customWidth="1"/>
    <col min="3" max="3" width="22.44140625" customWidth="1"/>
    <col min="4" max="4" width="20" customWidth="1"/>
    <col min="5" max="5" width="18.6640625" customWidth="1"/>
    <col min="6" max="6" width="20.6640625" customWidth="1"/>
    <col min="7" max="7" width="25.21875" customWidth="1"/>
  </cols>
  <sheetData>
    <row r="1" spans="2:7" ht="15" thickBot="1" x14ac:dyDescent="0.35"/>
    <row r="2" spans="2:7" ht="16.8" thickTop="1" thickBot="1" x14ac:dyDescent="0.35">
      <c r="B2" s="1" t="s">
        <v>0</v>
      </c>
      <c r="C2" s="2"/>
      <c r="D2" s="2"/>
      <c r="E2" s="2"/>
      <c r="F2" s="2"/>
      <c r="G2" s="3"/>
    </row>
    <row r="3" spans="2:7" ht="93.6" thickTop="1" thickBot="1" x14ac:dyDescent="0.3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2:7" ht="15.6" thickTop="1" thickBot="1" x14ac:dyDescent="0.35">
      <c r="B4" s="5">
        <v>1</v>
      </c>
      <c r="C4" s="6">
        <v>98.07</v>
      </c>
      <c r="D4" s="7">
        <v>10</v>
      </c>
      <c r="E4" s="8">
        <f t="shared" ref="E4:E11" si="0">C4/1000*D4*G4/60*100/F4</f>
        <v>3.2689999999999997</v>
      </c>
      <c r="F4" s="7">
        <v>60</v>
      </c>
      <c r="G4" s="9">
        <v>120</v>
      </c>
    </row>
    <row r="5" spans="2:7" ht="15.6" thickTop="1" thickBot="1" x14ac:dyDescent="0.35">
      <c r="B5" s="5">
        <v>2</v>
      </c>
      <c r="C5" s="6">
        <v>93.33</v>
      </c>
      <c r="D5" s="7">
        <v>10</v>
      </c>
      <c r="E5" s="8">
        <f t="shared" si="0"/>
        <v>3.1110000000000002</v>
      </c>
      <c r="F5" s="7">
        <v>60</v>
      </c>
      <c r="G5" s="9">
        <v>120</v>
      </c>
    </row>
    <row r="6" spans="2:7" ht="15.6" thickTop="1" thickBot="1" x14ac:dyDescent="0.35">
      <c r="B6" s="5">
        <v>3</v>
      </c>
      <c r="C6" s="6">
        <v>86.35</v>
      </c>
      <c r="D6" s="7">
        <v>10</v>
      </c>
      <c r="E6" s="8">
        <f t="shared" si="0"/>
        <v>2.878333333333333</v>
      </c>
      <c r="F6" s="7">
        <v>60</v>
      </c>
      <c r="G6" s="9">
        <v>120</v>
      </c>
    </row>
    <row r="7" spans="2:7" ht="15.6" thickTop="1" thickBot="1" x14ac:dyDescent="0.35">
      <c r="B7" s="5">
        <v>4</v>
      </c>
      <c r="C7" s="6">
        <v>89.88</v>
      </c>
      <c r="D7" s="7">
        <v>10</v>
      </c>
      <c r="E7" s="8">
        <f t="shared" si="0"/>
        <v>2.9960000000000004</v>
      </c>
      <c r="F7" s="7">
        <v>60</v>
      </c>
      <c r="G7" s="9">
        <v>120</v>
      </c>
    </row>
    <row r="8" spans="2:7" ht="15.6" thickTop="1" thickBot="1" x14ac:dyDescent="0.35">
      <c r="B8" s="5">
        <v>5</v>
      </c>
      <c r="C8" s="6">
        <v>85.05</v>
      </c>
      <c r="D8" s="7">
        <v>10</v>
      </c>
      <c r="E8" s="8">
        <f t="shared" si="0"/>
        <v>2.835</v>
      </c>
      <c r="F8" s="7">
        <v>60</v>
      </c>
      <c r="G8" s="9">
        <v>120</v>
      </c>
    </row>
    <row r="9" spans="2:7" ht="15.6" thickTop="1" thickBot="1" x14ac:dyDescent="0.35">
      <c r="B9" s="5">
        <v>6</v>
      </c>
      <c r="C9" s="6">
        <v>96.82</v>
      </c>
      <c r="D9" s="7">
        <v>10</v>
      </c>
      <c r="E9" s="8">
        <f t="shared" si="0"/>
        <v>3.2273333333333332</v>
      </c>
      <c r="F9" s="7">
        <v>60</v>
      </c>
      <c r="G9" s="9">
        <v>120</v>
      </c>
    </row>
    <row r="10" spans="2:7" ht="15.6" thickTop="1" thickBot="1" x14ac:dyDescent="0.35">
      <c r="B10" s="5">
        <v>7</v>
      </c>
      <c r="C10" s="6">
        <v>90.27</v>
      </c>
      <c r="D10" s="7">
        <v>10</v>
      </c>
      <c r="E10" s="8">
        <f t="shared" si="0"/>
        <v>3.0089999999999995</v>
      </c>
      <c r="F10" s="7">
        <v>60</v>
      </c>
      <c r="G10" s="9">
        <v>120</v>
      </c>
    </row>
    <row r="11" spans="2:7" ht="15.6" thickTop="1" thickBot="1" x14ac:dyDescent="0.35">
      <c r="B11" s="5">
        <v>8</v>
      </c>
      <c r="C11" s="6">
        <v>93.58</v>
      </c>
      <c r="D11" s="7">
        <v>10</v>
      </c>
      <c r="E11" s="8">
        <f t="shared" si="0"/>
        <v>3.1193333333333331</v>
      </c>
      <c r="F11" s="7">
        <v>60</v>
      </c>
      <c r="G11" s="9">
        <v>120</v>
      </c>
    </row>
    <row r="12" spans="2:7" ht="15.6" thickTop="1" thickBot="1" x14ac:dyDescent="0.35">
      <c r="B12" s="5">
        <v>9</v>
      </c>
      <c r="C12" s="6">
        <v>96.89</v>
      </c>
      <c r="D12" s="7">
        <v>10</v>
      </c>
      <c r="E12" s="8">
        <f t="shared" ref="E12:E15" si="1">C12/1000*D12*G12/60*100/F12</f>
        <v>3.2296666666666671</v>
      </c>
      <c r="F12" s="7">
        <v>60</v>
      </c>
      <c r="G12" s="9">
        <v>120</v>
      </c>
    </row>
    <row r="13" spans="2:7" ht="15.6" thickTop="1" thickBot="1" x14ac:dyDescent="0.35">
      <c r="B13" s="5">
        <v>10</v>
      </c>
      <c r="C13" s="6">
        <v>100.2</v>
      </c>
      <c r="D13" s="7">
        <v>10</v>
      </c>
      <c r="E13" s="8">
        <f t="shared" si="1"/>
        <v>3.3400000000000003</v>
      </c>
      <c r="F13" s="7">
        <v>60</v>
      </c>
      <c r="G13" s="9">
        <v>120</v>
      </c>
    </row>
    <row r="14" spans="2:7" ht="15.6" thickTop="1" thickBot="1" x14ac:dyDescent="0.35">
      <c r="B14" s="5">
        <v>11</v>
      </c>
      <c r="C14" s="6">
        <v>103.51</v>
      </c>
      <c r="D14" s="7">
        <v>10</v>
      </c>
      <c r="E14" s="8">
        <f t="shared" si="1"/>
        <v>3.4503333333333339</v>
      </c>
      <c r="F14" s="7">
        <v>60</v>
      </c>
      <c r="G14" s="9">
        <v>120</v>
      </c>
    </row>
    <row r="15" spans="2:7" ht="15.6" thickTop="1" thickBot="1" x14ac:dyDescent="0.35">
      <c r="B15" s="5">
        <v>12</v>
      </c>
      <c r="C15" s="6">
        <v>106.82</v>
      </c>
      <c r="D15" s="7">
        <v>10</v>
      </c>
      <c r="E15" s="8">
        <f t="shared" si="1"/>
        <v>3.5606666666666671</v>
      </c>
      <c r="F15" s="7">
        <v>60</v>
      </c>
      <c r="G15" s="9">
        <v>120</v>
      </c>
    </row>
    <row r="16" spans="2:7" ht="15.6" thickTop="1" thickBot="1" x14ac:dyDescent="0.35">
      <c r="B16" s="10" t="s">
        <v>7</v>
      </c>
      <c r="C16" s="11"/>
      <c r="D16" s="11"/>
      <c r="E16" s="12">
        <f>SUM(E4:E15)</f>
        <v>38.025666666666673</v>
      </c>
      <c r="F16" s="11"/>
      <c r="G16" s="11">
        <f>SUM(G4:G15)</f>
        <v>1440</v>
      </c>
    </row>
    <row r="17" ht="15" thickTop="1" x14ac:dyDescent="0.3"/>
  </sheetData>
  <mergeCells count="1">
    <mergeCell ref="B2:G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Bolsa Irriga</dc:creator>
  <cp:lastModifiedBy>Bolsa Irriga</cp:lastModifiedBy>
  <dcterms:created xsi:type="dcterms:W3CDTF">2026-05-16T20:40:55Z</dcterms:created>
  <dcterms:modified xsi:type="dcterms:W3CDTF">2026-05-16T20:42:18Z</dcterms:modified>
</cp:coreProperties>
</file>